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ingraham/hyperperfect/assets/marketing_content/"/>
    </mc:Choice>
  </mc:AlternateContent>
  <xr:revisionPtr revIDLastSave="0" documentId="8_{6D4C33B7-E2A1-FA46-85BD-11A26C5BA361}" xr6:coauthVersionLast="47" xr6:coauthVersionMax="47" xr10:uidLastSave="{00000000-0000-0000-0000-000000000000}"/>
  <bookViews>
    <workbookView xWindow="25600" yWindow="600" windowWidth="25600" windowHeight="27240" xr2:uid="{F40DE117-81A4-2645-A9FD-5FBD92333832}"/>
  </bookViews>
  <sheets>
    <sheet name="Financials" sheetId="2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" i="2" l="1"/>
  <c r="I83" i="2"/>
  <c r="H83" i="2"/>
  <c r="G83" i="2"/>
  <c r="F83" i="2"/>
  <c r="J79" i="2"/>
  <c r="I79" i="2"/>
  <c r="H79" i="2"/>
  <c r="G79" i="2"/>
  <c r="F79" i="2"/>
  <c r="J71" i="2"/>
  <c r="I71" i="2"/>
  <c r="H71" i="2"/>
  <c r="G71" i="2"/>
  <c r="F71" i="2"/>
  <c r="J67" i="2"/>
  <c r="I67" i="2"/>
  <c r="H67" i="2"/>
  <c r="G67" i="2"/>
  <c r="F67" i="2"/>
  <c r="F64" i="2"/>
  <c r="F55" i="2"/>
  <c r="J50" i="2"/>
  <c r="I50" i="2"/>
  <c r="H50" i="2"/>
  <c r="G50" i="2"/>
  <c r="F50" i="2"/>
  <c r="F88" i="2" s="1"/>
  <c r="J49" i="2"/>
  <c r="I49" i="2"/>
  <c r="H49" i="2"/>
  <c r="G49" i="2"/>
  <c r="F49" i="2"/>
  <c r="J44" i="2"/>
  <c r="I44" i="2"/>
  <c r="H44" i="2"/>
  <c r="G44" i="2"/>
  <c r="F44" i="2"/>
  <c r="J43" i="2"/>
  <c r="J45" i="2" s="1"/>
  <c r="I43" i="2"/>
  <c r="I45" i="2" s="1"/>
  <c r="H43" i="2"/>
  <c r="H45" i="2" s="1"/>
  <c r="G43" i="2"/>
  <c r="G45" i="2" s="1"/>
  <c r="F43" i="2"/>
  <c r="F45" i="2" s="1"/>
  <c r="F37" i="2"/>
  <c r="F22" i="2"/>
  <c r="J19" i="2"/>
  <c r="J37" i="2" s="1"/>
  <c r="I19" i="2"/>
  <c r="I37" i="2" s="1"/>
  <c r="H19" i="2"/>
  <c r="H37" i="2" s="1"/>
  <c r="G19" i="2"/>
  <c r="G37" i="2" s="1"/>
  <c r="F19" i="2"/>
  <c r="J16" i="2"/>
  <c r="I16" i="2"/>
  <c r="H16" i="2"/>
  <c r="G16" i="2"/>
  <c r="F16" i="2"/>
  <c r="F9" i="2"/>
  <c r="G8" i="2"/>
  <c r="G9" i="2" s="1"/>
  <c r="F8" i="2"/>
  <c r="F10" i="2" s="1"/>
  <c r="F111" i="2"/>
  <c r="G111" i="2"/>
  <c r="F113" i="2"/>
  <c r="F115" i="2" s="1"/>
  <c r="F118" i="2"/>
  <c r="F122" i="2" s="1"/>
  <c r="C68" i="2"/>
  <c r="D68" i="2"/>
  <c r="E68" i="2"/>
  <c r="C72" i="2"/>
  <c r="D72" i="2"/>
  <c r="E72" i="2"/>
  <c r="C80" i="2"/>
  <c r="D80" i="2"/>
  <c r="E80" i="2"/>
  <c r="E86" i="2" s="1"/>
  <c r="E92" i="2" s="1"/>
  <c r="C84" i="2"/>
  <c r="D84" i="2"/>
  <c r="E84" i="2"/>
  <c r="C90" i="2"/>
  <c r="D90" i="2"/>
  <c r="E90" i="2"/>
  <c r="C40" i="2"/>
  <c r="D40" i="2"/>
  <c r="E40" i="2"/>
  <c r="C45" i="2"/>
  <c r="D45" i="2"/>
  <c r="E45" i="2"/>
  <c r="C52" i="2"/>
  <c r="D52" i="2"/>
  <c r="E52" i="2"/>
  <c r="C10" i="2"/>
  <c r="C17" i="2" s="1"/>
  <c r="C20" i="2" s="1"/>
  <c r="C23" i="2" s="1"/>
  <c r="D10" i="2"/>
  <c r="E10" i="2"/>
  <c r="C14" i="2"/>
  <c r="D14" i="2"/>
  <c r="E14" i="2"/>
  <c r="C27" i="2"/>
  <c r="D27" i="2"/>
  <c r="E27" i="2"/>
  <c r="F66" i="2" l="1"/>
  <c r="F13" i="2"/>
  <c r="F12" i="2"/>
  <c r="G88" i="2"/>
  <c r="F70" i="2"/>
  <c r="G10" i="2"/>
  <c r="H8" i="2"/>
  <c r="G64" i="2"/>
  <c r="G113" i="2"/>
  <c r="H111" i="2" s="1"/>
  <c r="F117" i="2"/>
  <c r="E54" i="2"/>
  <c r="E56" i="2" s="1"/>
  <c r="D74" i="2"/>
  <c r="C74" i="2"/>
  <c r="C29" i="2"/>
  <c r="D86" i="2"/>
  <c r="D92" i="2" s="1"/>
  <c r="C54" i="2"/>
  <c r="C56" i="2" s="1"/>
  <c r="C86" i="2"/>
  <c r="C92" i="2" s="1"/>
  <c r="E74" i="2"/>
  <c r="D17" i="2"/>
  <c r="D20" i="2" s="1"/>
  <c r="D23" i="2" s="1"/>
  <c r="D29" i="2" s="1"/>
  <c r="D54" i="2"/>
  <c r="D56" i="2" s="1"/>
  <c r="E17" i="2"/>
  <c r="E20" i="2" s="1"/>
  <c r="E23" i="2" s="1"/>
  <c r="E29" i="2" s="1"/>
  <c r="G66" i="2" l="1"/>
  <c r="G12" i="2"/>
  <c r="G13" i="2"/>
  <c r="I8" i="2"/>
  <c r="H64" i="2"/>
  <c r="H9" i="2"/>
  <c r="H10" i="2"/>
  <c r="G70" i="2"/>
  <c r="F72" i="2"/>
  <c r="H88" i="2"/>
  <c r="F14" i="2"/>
  <c r="F17" i="2" s="1"/>
  <c r="F20" i="2" s="1"/>
  <c r="F23" i="2" s="1"/>
  <c r="F65" i="2"/>
  <c r="F78" i="2"/>
  <c r="H113" i="2"/>
  <c r="I111" i="2" s="1"/>
  <c r="G115" i="2"/>
  <c r="H13" i="2" l="1"/>
  <c r="H66" i="2"/>
  <c r="H12" i="2"/>
  <c r="F39" i="2"/>
  <c r="H70" i="2"/>
  <c r="G72" i="2"/>
  <c r="J8" i="2"/>
  <c r="I64" i="2"/>
  <c r="I9" i="2"/>
  <c r="I10" i="2"/>
  <c r="F26" i="2"/>
  <c r="F25" i="2"/>
  <c r="F27" i="2" s="1"/>
  <c r="F29" i="2" s="1"/>
  <c r="G65" i="2"/>
  <c r="G78" i="2"/>
  <c r="G14" i="2"/>
  <c r="G17" i="2" s="1"/>
  <c r="G20" i="2" s="1"/>
  <c r="I88" i="2"/>
  <c r="I113" i="2"/>
  <c r="J111" i="2" s="1"/>
  <c r="H115" i="2"/>
  <c r="G117" i="2"/>
  <c r="F51" i="2" l="1"/>
  <c r="F89" i="2" s="1"/>
  <c r="F36" i="2"/>
  <c r="J64" i="2"/>
  <c r="J9" i="2"/>
  <c r="J10" i="2"/>
  <c r="G39" i="2"/>
  <c r="I70" i="2"/>
  <c r="H72" i="2"/>
  <c r="J88" i="2"/>
  <c r="F82" i="2"/>
  <c r="F38" i="2"/>
  <c r="H65" i="2"/>
  <c r="H39" i="2" s="1"/>
  <c r="H78" i="2"/>
  <c r="H14" i="2"/>
  <c r="H17" i="2" s="1"/>
  <c r="H20" i="2" s="1"/>
  <c r="I66" i="2"/>
  <c r="I12" i="2"/>
  <c r="I13" i="2"/>
  <c r="J113" i="2"/>
  <c r="J115" i="2" s="1"/>
  <c r="I115" i="2"/>
  <c r="F90" i="2" l="1"/>
  <c r="I72" i="2"/>
  <c r="J70" i="2"/>
  <c r="J72" i="2" s="1"/>
  <c r="J66" i="2"/>
  <c r="J12" i="2"/>
  <c r="J13" i="2"/>
  <c r="F84" i="2"/>
  <c r="F40" i="2"/>
  <c r="I78" i="2"/>
  <c r="I14" i="2"/>
  <c r="I17" i="2" s="1"/>
  <c r="I20" i="2" s="1"/>
  <c r="I65" i="2"/>
  <c r="I39" i="2" s="1"/>
  <c r="H117" i="2"/>
  <c r="J78" i="2" l="1"/>
  <c r="J14" i="2"/>
  <c r="J17" i="2" s="1"/>
  <c r="J20" i="2" s="1"/>
  <c r="J65" i="2"/>
  <c r="J39" i="2" s="1"/>
  <c r="I117" i="2"/>
  <c r="J117" i="2" l="1"/>
  <c r="G118" i="2"/>
  <c r="G122" i="2" s="1"/>
  <c r="G22" i="2" s="1"/>
  <c r="G23" i="2" s="1"/>
  <c r="F119" i="2"/>
  <c r="F48" i="2" s="1"/>
  <c r="F52" i="2" s="1"/>
  <c r="F54" i="2" s="1"/>
  <c r="F56" i="2" s="1"/>
  <c r="F120" i="2"/>
  <c r="F77" i="2" s="1"/>
  <c r="F80" i="2" s="1"/>
  <c r="F86" i="2" s="1"/>
  <c r="F92" i="2" s="1"/>
  <c r="F124" i="2"/>
  <c r="G25" i="2" l="1"/>
  <c r="G26" i="2"/>
  <c r="G55" i="2"/>
  <c r="F63" i="2"/>
  <c r="F68" i="2" s="1"/>
  <c r="F74" i="2" s="1"/>
  <c r="F143" i="2" l="1"/>
  <c r="F144" i="2"/>
  <c r="G38" i="2"/>
  <c r="G82" i="2"/>
  <c r="G27" i="2"/>
  <c r="G29" i="2" s="1"/>
  <c r="G51" i="2" l="1"/>
  <c r="G36" i="2"/>
  <c r="G40" i="2" s="1"/>
  <c r="G89" i="2"/>
  <c r="G84" i="2"/>
  <c r="G90" i="2" l="1"/>
  <c r="G119" i="2"/>
  <c r="G48" i="2" l="1"/>
  <c r="G52" i="2" s="1"/>
  <c r="G54" i="2" s="1"/>
  <c r="G56" i="2" s="1"/>
  <c r="G120" i="2"/>
  <c r="G77" i="2" l="1"/>
  <c r="G80" i="2" s="1"/>
  <c r="G86" i="2" s="1"/>
  <c r="G92" i="2" s="1"/>
  <c r="G124" i="2"/>
  <c r="H118" i="2"/>
  <c r="H55" i="2"/>
  <c r="G63" i="2"/>
  <c r="G68" i="2" s="1"/>
  <c r="G74" i="2" s="1"/>
  <c r="G144" i="2" l="1"/>
  <c r="G143" i="2"/>
  <c r="H122" i="2"/>
  <c r="H22" i="2" s="1"/>
  <c r="H23" i="2" s="1"/>
  <c r="H25" i="2" l="1"/>
  <c r="H26" i="2"/>
  <c r="H38" i="2" l="1"/>
  <c r="H82" i="2"/>
  <c r="H27" i="2"/>
  <c r="H29" i="2" s="1"/>
  <c r="H51" i="2" l="1"/>
  <c r="H36" i="2"/>
  <c r="H40" i="2" s="1"/>
  <c r="H89" i="2"/>
  <c r="H84" i="2"/>
  <c r="H90" i="2" l="1"/>
  <c r="H119" i="2"/>
  <c r="H48" i="2" l="1"/>
  <c r="H52" i="2" s="1"/>
  <c r="H54" i="2" s="1"/>
  <c r="H56" i="2" s="1"/>
  <c r="H120" i="2"/>
  <c r="H77" i="2" l="1"/>
  <c r="H80" i="2" s="1"/>
  <c r="H86" i="2" s="1"/>
  <c r="H92" i="2" s="1"/>
  <c r="H124" i="2"/>
  <c r="I118" i="2"/>
  <c r="I55" i="2"/>
  <c r="H63" i="2"/>
  <c r="H68" i="2" s="1"/>
  <c r="H74" i="2" s="1"/>
  <c r="H143" i="2" l="1"/>
  <c r="H144" i="2"/>
  <c r="I122" i="2"/>
  <c r="I22" i="2" s="1"/>
  <c r="I23" i="2" s="1"/>
  <c r="I26" i="2" l="1"/>
  <c r="I25" i="2"/>
  <c r="I27" i="2" s="1"/>
  <c r="I29" i="2" s="1"/>
  <c r="I51" i="2" l="1"/>
  <c r="I36" i="2"/>
  <c r="I89" i="2"/>
  <c r="I38" i="2"/>
  <c r="I82" i="2"/>
  <c r="I84" i="2" l="1"/>
  <c r="I90" i="2"/>
  <c r="I40" i="2"/>
  <c r="I119" i="2" l="1"/>
  <c r="I48" i="2" l="1"/>
  <c r="I52" i="2" s="1"/>
  <c r="I54" i="2" s="1"/>
  <c r="I56" i="2" s="1"/>
  <c r="I120" i="2"/>
  <c r="I77" i="2" l="1"/>
  <c r="I80" i="2" s="1"/>
  <c r="I86" i="2" s="1"/>
  <c r="I92" i="2" s="1"/>
  <c r="I124" i="2"/>
  <c r="J118" i="2"/>
  <c r="J55" i="2"/>
  <c r="I63" i="2"/>
  <c r="I68" i="2" s="1"/>
  <c r="I74" i="2" s="1"/>
  <c r="I143" i="2" l="1"/>
  <c r="I144" i="2"/>
  <c r="J122" i="2"/>
  <c r="J22" i="2" s="1"/>
  <c r="J23" i="2" s="1"/>
  <c r="J26" i="2" l="1"/>
  <c r="J25" i="2"/>
  <c r="J27" i="2" s="1"/>
  <c r="J29" i="2" s="1"/>
  <c r="J51" i="2" l="1"/>
  <c r="J36" i="2"/>
  <c r="J89" i="2"/>
  <c r="J90" i="2" s="1"/>
  <c r="J38" i="2"/>
  <c r="J82" i="2"/>
  <c r="J84" i="2" s="1"/>
  <c r="J40" i="2" l="1"/>
  <c r="J119" i="2" l="1"/>
  <c r="J48" i="2" l="1"/>
  <c r="J52" i="2" s="1"/>
  <c r="J54" i="2" s="1"/>
  <c r="J56" i="2" s="1"/>
  <c r="J63" i="2" s="1"/>
  <c r="J68" i="2" s="1"/>
  <c r="J74" i="2" s="1"/>
  <c r="J120" i="2"/>
  <c r="J77" i="2" l="1"/>
  <c r="J80" i="2" s="1"/>
  <c r="J86" i="2" s="1"/>
  <c r="J92" i="2" s="1"/>
  <c r="J124" i="2"/>
  <c r="J144" i="2"/>
  <c r="J143" i="2"/>
</calcChain>
</file>

<file path=xl/sharedStrings.xml><?xml version="1.0" encoding="utf-8"?>
<sst xmlns="http://schemas.openxmlformats.org/spreadsheetml/2006/main" count="142" uniqueCount="109">
  <si>
    <t>F2022A</t>
  </si>
  <si>
    <t>F2023A</t>
  </si>
  <si>
    <t>F2024A</t>
  </si>
  <si>
    <t>Gross Revenue</t>
  </si>
  <si>
    <t>Freight &amp; Warehousing</t>
  </si>
  <si>
    <t>Net Revenue</t>
  </si>
  <si>
    <t>Cost of Sales</t>
  </si>
  <si>
    <t>SG&amp;A</t>
  </si>
  <si>
    <t>Total Costs</t>
  </si>
  <si>
    <t>Cost Adjustments - Gain/(Loss)</t>
  </si>
  <si>
    <t>EBITDA</t>
  </si>
  <si>
    <t>Depreciation</t>
  </si>
  <si>
    <t>EBIT</t>
  </si>
  <si>
    <t>Interest Expense</t>
  </si>
  <si>
    <t>EBT</t>
  </si>
  <si>
    <t>Current Taxes</t>
  </si>
  <si>
    <t>Deferred Income Taxes</t>
  </si>
  <si>
    <t>Total Income Taxes</t>
  </si>
  <si>
    <t>Net Income to Common</t>
  </si>
  <si>
    <t>Henderson Manufacturing</t>
  </si>
  <si>
    <t>Income Statement</t>
  </si>
  <si>
    <t>($ Millions)</t>
  </si>
  <si>
    <t>Accounts Receivable</t>
  </si>
  <si>
    <t>Inventory</t>
  </si>
  <si>
    <t>Prepaid Expenses</t>
  </si>
  <si>
    <t>Total Current Assets</t>
  </si>
  <si>
    <t>Total Assets</t>
  </si>
  <si>
    <t>Accounts Payable</t>
  </si>
  <si>
    <t>Total Current Liabilities</t>
  </si>
  <si>
    <t>Total Liabilities</t>
  </si>
  <si>
    <t>Retained Earnings</t>
  </si>
  <si>
    <t>Balance Sheet</t>
  </si>
  <si>
    <t>Cash Flow Statement</t>
  </si>
  <si>
    <t>Operating Activities</t>
  </si>
  <si>
    <t>Net Income</t>
  </si>
  <si>
    <t>Changes in Working Capital</t>
  </si>
  <si>
    <t>Operating Cash Flow</t>
  </si>
  <si>
    <t>Investing Activities</t>
  </si>
  <si>
    <t>CAPEX</t>
  </si>
  <si>
    <t>Other</t>
  </si>
  <si>
    <t>Investing Cash Flow</t>
  </si>
  <si>
    <t>Financing Activities</t>
  </si>
  <si>
    <t>Revolver Issuance / (Repayment)</t>
  </si>
  <si>
    <t>Total Term Debt Issuance / (Repayment)</t>
  </si>
  <si>
    <t>Common Shares Issuance/ (Buy-Back)</t>
  </si>
  <si>
    <t>Common Dividends</t>
  </si>
  <si>
    <t>Financing Cash Flow</t>
  </si>
  <si>
    <t>Change in Cash Position</t>
  </si>
  <si>
    <t>Beginning Cash</t>
  </si>
  <si>
    <t>Ending Cash</t>
  </si>
  <si>
    <t>ASSETS</t>
  </si>
  <si>
    <t>Cash and Equivalents</t>
  </si>
  <si>
    <t>Net PP&amp;E</t>
  </si>
  <si>
    <t>Total Long Term Assets</t>
  </si>
  <si>
    <t>LIABILITIES AND EQUITY</t>
  </si>
  <si>
    <t>Bank Debt - Revolver</t>
  </si>
  <si>
    <t>Senior Secured Term Debt</t>
  </si>
  <si>
    <t>Total Long Term Liabilities</t>
  </si>
  <si>
    <t>Common Shares</t>
  </si>
  <si>
    <t>Shareholder's Equity</t>
  </si>
  <si>
    <t>Total Liabilities and Equity</t>
  </si>
  <si>
    <t>F2025E</t>
  </si>
  <si>
    <t>F2026E</t>
  </si>
  <si>
    <t>F2027E</t>
  </si>
  <si>
    <t>F2028E</t>
  </si>
  <si>
    <t>F2029E</t>
  </si>
  <si>
    <t>Gross Revenue Growth %</t>
  </si>
  <si>
    <t>SG&amp;A % of Net Revenue</t>
  </si>
  <si>
    <t>Depreciation ($M)</t>
  </si>
  <si>
    <t>Interest Rate</t>
  </si>
  <si>
    <t>Current Tax Rate (% of EBT)</t>
  </si>
  <si>
    <t>Common Share Issuance / (Buyback) ($M)</t>
  </si>
  <si>
    <t>BALANCE SHEET CHECK (Assets - L&amp;E; should = 0)</t>
  </si>
  <si>
    <t>ASSUMPTIONS &amp; SCHEDULES</t>
  </si>
  <si>
    <t>Revenue Assumptions</t>
  </si>
  <si>
    <t xml:space="preserve">  Gross Revenue Growth Rate</t>
  </si>
  <si>
    <t xml:space="preserve">  Freight &amp; Warehousing % of Gross Revenue</t>
  </si>
  <si>
    <t>Cost Assumptions</t>
  </si>
  <si>
    <t xml:space="preserve">  COGS % of Net Revenue</t>
  </si>
  <si>
    <t xml:space="preserve">  SG&amp;A % of Net Revenue</t>
  </si>
  <si>
    <t xml:space="preserve">  Cost Adjustments - Gain/(Loss) ($M)</t>
  </si>
  <si>
    <t>Depreciation &amp; CapEx Schedule</t>
  </si>
  <si>
    <t xml:space="preserve">  Depreciation ($M)</t>
  </si>
  <si>
    <t xml:space="preserve">  CapEx ($M)</t>
  </si>
  <si>
    <t>Term Debt Schedule</t>
  </si>
  <si>
    <t xml:space="preserve">  Beginning Balance</t>
  </si>
  <si>
    <t xml:space="preserve">  Annual Repayment</t>
  </si>
  <si>
    <t xml:space="preserve">  Ending Balance</t>
  </si>
  <si>
    <t xml:space="preserve">  Interest Rate</t>
  </si>
  <si>
    <t xml:space="preserve">  Interest Expense</t>
  </si>
  <si>
    <t>Revolver Schedule</t>
  </si>
  <si>
    <t xml:space="preserve">  Draw / (Repayment)</t>
  </si>
  <si>
    <t>Tax Assumptions</t>
  </si>
  <si>
    <t xml:space="preserve">  Current Tax Rate</t>
  </si>
  <si>
    <t xml:space="preserve">  Deferred Tax Rate</t>
  </si>
  <si>
    <t>Working Capital Assumptions</t>
  </si>
  <si>
    <t xml:space="preserve">  AR Days (of Gross Revenue)</t>
  </si>
  <si>
    <t xml:space="preserve">  Inventory Days (of COGS)</t>
  </si>
  <si>
    <t xml:space="preserve">  AP Days (of COGS)</t>
  </si>
  <si>
    <t xml:space="preserve">  Prepaid Expenses % of Net Revenue</t>
  </si>
  <si>
    <t xml:space="preserve">  Other Current Assets ($M)</t>
  </si>
  <si>
    <t xml:space="preserve">  Other Current Liabilities ($M)</t>
  </si>
  <si>
    <t>Other Assumptions</t>
  </si>
  <si>
    <t xml:space="preserve">  Other Long-Term Assets ($M)</t>
  </si>
  <si>
    <t xml:space="preserve">  Dividend Payout %</t>
  </si>
  <si>
    <t xml:space="preserve">  Share Issuance / (Buyback) ($M)</t>
  </si>
  <si>
    <t xml:space="preserve">  Minimum Cash Balance ($M)</t>
  </si>
  <si>
    <t>Balance Sheet Check</t>
  </si>
  <si>
    <t xml:space="preserve">  Total Assets - Total L&amp;E (should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</si>
</sst>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&quot;$&quot;#,##0.0"/>
    <numFmt numFmtId="166" formatCode="#,##0.0;\(#,##0.0\)"/>
    <numFmt numFmtId="167" formatCode="&quot;$&quot;#,##0.0;\(&quot;$&quot;#,##0.0\)"/>
    <numFmt numFmtId="168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2" xfId="0" applyFont="1" applyBorder="1"/>
    <xf numFmtId="165" fontId="1" fillId="0" borderId="2" xfId="0" applyNumberFormat="1" applyFont="1" applyBorder="1"/>
    <xf numFmtId="0" fontId="3" fillId="0" borderId="0" xfId="0" applyFont="1" applyAlignment="1">
      <alignment horizontal="center"/>
    </xf>
    <xf numFmtId="166" fontId="0" fillId="0" borderId="0" xfId="0" applyNumberFormat="1"/>
    <xf numFmtId="166" fontId="1" fillId="0" borderId="2" xfId="0" applyNumberFormat="1" applyFont="1" applyBorder="1"/>
    <xf numFmtId="164" fontId="3" fillId="0" borderId="0" xfId="0" applyNumberFormat="1" applyFont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166" fontId="3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0" fillId="0" borderId="0" xfId="0" applyAlignment="1">
      <alignment indent="1"/>
    </xf>
    <xf numFmtId="167" fontId="1" fillId="0" borderId="1" xfId="0" applyNumberFormat="1" applyFont="1" applyBorder="1"/>
    <xf numFmtId="164" fontId="5" fillId="0" borderId="0" xfId="0" applyNumberFormat="1" applyFont="1"/>
    <xf numFmtId="166" fontId="5" fillId="0" borderId="0" xfId="0" applyNumberFormat="1" applyFont="1"/>
    <xf numFmtId="164" fontId="6" fillId="0" borderId="0" xfId="0" applyNumberFormat="1" applyFont="1"/>
    <xf numFmtId="164" fontId="7" fillId="0" borderId="1" xfId="0" applyNumberFormat="1" applyFont="1" applyBorder="1"/>
    <xf numFmtId="165" fontId="7" fillId="0" borderId="2" xfId="0" applyNumberFormat="1" applyFont="1" applyBorder="1"/>
    <xf numFmtId="166" fontId="6" fillId="0" borderId="0" xfId="0" applyNumberFormat="1" applyFont="1"/>
    <xf numFmtId="167" fontId="7" fillId="0" borderId="1" xfId="0" applyNumberFormat="1" applyFont="1" applyBorder="1"/>
    <xf numFmtId="166" fontId="8" fillId="0" borderId="0" xfId="0" applyNumberFormat="1" applyFont="1"/>
    <xf numFmtId="166" fontId="7" fillId="0" borderId="2" xfId="0" applyNumberFormat="1" applyFont="1" applyBorder="1"/>
    <xf numFmtId="164" fontId="7" fillId="0" borderId="0" xfId="0" applyNumberFormat="1" applyFont="1"/>
    <xf numFmtId="0" fontId="11" fillId="0" borderId="0" xfId="0" applyFont="1"/>
    <xf numFmtId="0" fontId="1" fillId="0" borderId="4" xfId="0" applyFont="1" applyBorder="1"/>
    <xf numFmtId="168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7" fillId="0" borderId="2" xfId="0" applyNumberFormat="1" applyFont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4" xfId="0" applyFont="1" applyBorder="1" applyAlignment="1">
      <alignment horizontal="right"/>
    </xf>
    <xf numFmtId="16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8" fontId="1" fillId="0" borderId="4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0" fontId="10" fillId="2" borderId="0" xfId="0" applyFont="1" applyFill="1" applyBorder="1"/>
    <xf numFmtId="0" fontId="9" fillId="2" borderId="5" xfId="0" applyFont="1" applyFill="1" applyBorder="1" applyAlignment="1">
      <alignment horizontal="center"/>
    </xf>
    <xf numFmtId="164" fontId="10" fillId="2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6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E1D28-FF9A-FD45-A4BA-F0034EFA2F42}">
  <we:reference id="wa200008526" version="2.0.0.0" store="en-US" storeType="OMEX"/>
  <we:alternateReferences>
    <we:reference id="wa200008526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817A-DC42-A244-89D8-C30A434496C6}">
  <dimension ref="B2:J145"/>
  <sheetViews>
    <sheetView tabSelected="1" topLeftCell="A94" workbookViewId="0">
      <selection activeCell="D68" sqref="D68"/>
    </sheetView>
  </sheetViews>
  <sheetFormatPr baseColWidth="10" defaultRowHeight="15" x14ac:dyDescent="0.2"/>
  <cols>
    <col min="2" max="2" width="39.33203125" bestFit="1" customWidth="1"/>
    <col min="3" max="5" width="8.33203125" bestFit="1" customWidth="1"/>
    <col min="6" max="10" width="8.1640625" bestFit="1" customWidth="1"/>
  </cols>
  <sheetData>
    <row r="2" spans="2:10" ht="19" x14ac:dyDescent="0.25">
      <c r="C2" s="8" t="s">
        <v>0</v>
      </c>
      <c r="D2" s="8" t="s">
        <v>1</v>
      </c>
      <c r="E2" s="8" t="s">
        <v>2</v>
      </c>
      <c r="F2" s="11" t="s">
        <v>61</v>
      </c>
      <c r="G2" s="11" t="s">
        <v>62</v>
      </c>
      <c r="H2" s="11" t="s">
        <v>63</v>
      </c>
      <c r="I2" s="11" t="s">
        <v>64</v>
      </c>
      <c r="J2" s="11" t="s">
        <v>65</v>
      </c>
    </row>
    <row r="3" spans="2:10" ht="19" x14ac:dyDescent="0.25">
      <c r="B3" s="8" t="s">
        <v>19</v>
      </c>
      <c r="C3" s="11"/>
      <c r="D3" s="11"/>
      <c r="E3" s="11"/>
    </row>
    <row r="4" spans="2:10" ht="19" x14ac:dyDescent="0.25">
      <c r="B4" s="8" t="s">
        <v>20</v>
      </c>
      <c r="C4" s="11"/>
      <c r="D4" s="11"/>
      <c r="E4" s="11"/>
    </row>
    <row r="5" spans="2:10" x14ac:dyDescent="0.2">
      <c r="C5" s="5"/>
      <c r="D5" s="5"/>
      <c r="E5" s="5"/>
    </row>
    <row r="6" spans="2:10" ht="16" thickBot="1" x14ac:dyDescent="0.25">
      <c r="B6" s="12" t="s">
        <v>21</v>
      </c>
      <c r="C6" s="13"/>
      <c r="D6" s="13"/>
      <c r="E6" s="13"/>
      <c r="F6" s="13"/>
      <c r="G6" s="13"/>
      <c r="H6" s="13"/>
      <c r="I6" s="13"/>
      <c r="J6" s="13"/>
    </row>
    <row r="7" spans="2:10" x14ac:dyDescent="0.2">
      <c r="C7" s="5"/>
      <c r="D7" s="5"/>
      <c r="E7" s="5"/>
      <c r="F7" s="5"/>
      <c r="G7" s="5"/>
      <c r="H7" s="5"/>
      <c r="I7" s="5"/>
      <c r="J7" s="5"/>
    </row>
    <row r="8" spans="2:10" x14ac:dyDescent="0.2">
      <c r="B8" t="s">
        <v>3</v>
      </c>
      <c r="C8" s="19">
        <v>244.8</v>
      </c>
      <c r="D8" s="19">
        <v>269.3</v>
      </c>
      <c r="E8" s="19">
        <v>239.2</v>
      </c>
      <c r="F8" s="21">
        <f>E8*(1+F98)</f>
        <v>251.16</v>
      </c>
      <c r="G8" s="21">
        <f>F8*(1+G98)</f>
        <v>258.69479999999999</v>
      </c>
      <c r="H8" s="21">
        <f>G8*(1+H98)</f>
        <v>266.45564400000001</v>
      </c>
      <c r="I8" s="21">
        <f>H8*(1+I98)</f>
        <v>274.44931331999999</v>
      </c>
      <c r="J8" s="21">
        <f>I8*(1+J98)</f>
        <v>282.6827927196</v>
      </c>
    </row>
    <row r="9" spans="2:10" x14ac:dyDescent="0.2">
      <c r="B9" t="s">
        <v>4</v>
      </c>
      <c r="C9" s="19">
        <v>31.3</v>
      </c>
      <c r="D9" s="19">
        <v>32.700000000000003</v>
      </c>
      <c r="E9" s="19">
        <v>34.4</v>
      </c>
      <c r="F9" s="21">
        <f>F8*F99</f>
        <v>33.906600000000005</v>
      </c>
      <c r="G9" s="21">
        <f>G8*G99</f>
        <v>34.923797999999998</v>
      </c>
      <c r="H9" s="21">
        <f>H8*H99</f>
        <v>35.971511940000006</v>
      </c>
      <c r="I9" s="21">
        <f>I8*I99</f>
        <v>37.050657298200001</v>
      </c>
      <c r="J9" s="21">
        <f>J8*J99</f>
        <v>38.162177017146</v>
      </c>
    </row>
    <row r="10" spans="2:10" x14ac:dyDescent="0.2">
      <c r="B10" s="2" t="s">
        <v>5</v>
      </c>
      <c r="C10" s="4">
        <f t="shared" ref="C10:E10" si="0">C8-C9</f>
        <v>213.5</v>
      </c>
      <c r="D10" s="4">
        <f t="shared" si="0"/>
        <v>236.60000000000002</v>
      </c>
      <c r="E10" s="4">
        <f t="shared" si="0"/>
        <v>204.79999999999998</v>
      </c>
      <c r="F10" s="22">
        <f>F8-F9</f>
        <v>217.2534</v>
      </c>
      <c r="G10" s="22">
        <f>G8-G9</f>
        <v>223.77100199999998</v>
      </c>
      <c r="H10" s="22">
        <f>H8-H9</f>
        <v>230.48413206000001</v>
      </c>
      <c r="I10" s="22">
        <f>I8-I9</f>
        <v>237.39865602179998</v>
      </c>
      <c r="J10" s="22">
        <f>J8-J9</f>
        <v>244.52061570245399</v>
      </c>
    </row>
    <row r="11" spans="2:10" x14ac:dyDescent="0.2">
      <c r="C11" s="5"/>
      <c r="D11" s="5"/>
      <c r="E11" s="5"/>
      <c r="F11" s="21"/>
      <c r="G11" s="21"/>
      <c r="H11" s="21"/>
      <c r="I11" s="21"/>
      <c r="J11" s="21"/>
    </row>
    <row r="12" spans="2:10" x14ac:dyDescent="0.2">
      <c r="B12" t="s">
        <v>6</v>
      </c>
      <c r="C12" s="19">
        <v>159.9</v>
      </c>
      <c r="D12" s="19">
        <v>164.6</v>
      </c>
      <c r="E12" s="19">
        <v>167.9</v>
      </c>
      <c r="F12" s="21">
        <f>F10*F102</f>
        <v>169.457652</v>
      </c>
      <c r="G12" s="21">
        <f>G10*G102</f>
        <v>172.30367153999998</v>
      </c>
      <c r="H12" s="21">
        <f>H10*H102</f>
        <v>175.1679403656</v>
      </c>
      <c r="I12" s="21">
        <f>I10*I102</f>
        <v>178.04899201634998</v>
      </c>
      <c r="J12" s="21">
        <f>J10*J102</f>
        <v>183.39046177684048</v>
      </c>
    </row>
    <row r="13" spans="2:10" x14ac:dyDescent="0.2">
      <c r="B13" t="s">
        <v>7</v>
      </c>
      <c r="C13" s="19">
        <v>3.4</v>
      </c>
      <c r="D13" s="19">
        <v>3.6</v>
      </c>
      <c r="E13" s="19">
        <v>3.8</v>
      </c>
      <c r="F13" s="21">
        <f>F10*F103</f>
        <v>3.9105611999999996</v>
      </c>
      <c r="G13" s="21">
        <f>G10*G103</f>
        <v>4.0278780359999997</v>
      </c>
      <c r="H13" s="21">
        <f>H10*H103</f>
        <v>4.1487143770800001</v>
      </c>
      <c r="I13" s="21">
        <f>I10*I103</f>
        <v>4.2731758083923994</v>
      </c>
      <c r="J13" s="21">
        <f>J10*J103</f>
        <v>4.4013710826441717</v>
      </c>
    </row>
    <row r="14" spans="2:10" x14ac:dyDescent="0.2">
      <c r="B14" s="2" t="s">
        <v>8</v>
      </c>
      <c r="C14" s="4">
        <f t="shared" ref="C14:E14" si="1">C12+C13</f>
        <v>163.30000000000001</v>
      </c>
      <c r="D14" s="4">
        <f t="shared" si="1"/>
        <v>168.2</v>
      </c>
      <c r="E14" s="4">
        <f t="shared" si="1"/>
        <v>171.70000000000002</v>
      </c>
      <c r="F14" s="22">
        <f>F12+F13</f>
        <v>173.36821319999999</v>
      </c>
      <c r="G14" s="22">
        <f>G12+G13</f>
        <v>176.33154957599999</v>
      </c>
      <c r="H14" s="22">
        <f>H12+H13</f>
        <v>179.31665474268002</v>
      </c>
      <c r="I14" s="22">
        <f>I12+I13</f>
        <v>182.32216782474239</v>
      </c>
      <c r="J14" s="22">
        <f>J12+J13</f>
        <v>187.79183285948466</v>
      </c>
    </row>
    <row r="15" spans="2:10" x14ac:dyDescent="0.2">
      <c r="C15" s="5"/>
      <c r="D15" s="5"/>
      <c r="E15" s="5"/>
      <c r="F15" s="21"/>
      <c r="G15" s="21"/>
      <c r="H15" s="21"/>
      <c r="I15" s="21"/>
      <c r="J15" s="21"/>
    </row>
    <row r="16" spans="2:10" x14ac:dyDescent="0.2">
      <c r="B16" t="s">
        <v>9</v>
      </c>
      <c r="C16" s="19">
        <v>0</v>
      </c>
      <c r="D16" s="19">
        <v>0</v>
      </c>
      <c r="E16" s="19">
        <v>0</v>
      </c>
      <c r="F16" s="21">
        <f>F104</f>
        <v>0</v>
      </c>
      <c r="G16" s="21">
        <f>G104</f>
        <v>0</v>
      </c>
      <c r="H16" s="21">
        <f>H104</f>
        <v>0</v>
      </c>
      <c r="I16" s="21">
        <f>I104</f>
        <v>0</v>
      </c>
      <c r="J16" s="21">
        <f>J104</f>
        <v>0</v>
      </c>
    </row>
    <row r="17" spans="2:10" x14ac:dyDescent="0.2">
      <c r="B17" s="2" t="s">
        <v>10</v>
      </c>
      <c r="C17" s="4">
        <f t="shared" ref="C17:E17" si="2">C10-C14+C16</f>
        <v>50.199999999999989</v>
      </c>
      <c r="D17" s="4">
        <f t="shared" si="2"/>
        <v>68.400000000000034</v>
      </c>
      <c r="E17" s="4">
        <f t="shared" si="2"/>
        <v>33.099999999999966</v>
      </c>
      <c r="F17" s="22">
        <f>F10-F14+F16</f>
        <v>43.885186800000014</v>
      </c>
      <c r="G17" s="22">
        <f>G10-G14+G16</f>
        <v>47.439452423999995</v>
      </c>
      <c r="H17" s="22">
        <f>H10-H14+H16</f>
        <v>51.167477317319992</v>
      </c>
      <c r="I17" s="22">
        <f>I10-I14+I16</f>
        <v>55.076488197057586</v>
      </c>
      <c r="J17" s="22">
        <f>J10-J14+J16</f>
        <v>56.728782842969338</v>
      </c>
    </row>
    <row r="18" spans="2:10" x14ac:dyDescent="0.2">
      <c r="C18" s="5"/>
      <c r="D18" s="5"/>
      <c r="E18" s="5"/>
      <c r="F18" s="21"/>
      <c r="G18" s="21"/>
      <c r="H18" s="21"/>
      <c r="I18" s="21"/>
      <c r="J18" s="21"/>
    </row>
    <row r="19" spans="2:10" x14ac:dyDescent="0.2">
      <c r="B19" t="s">
        <v>11</v>
      </c>
      <c r="C19" s="19">
        <v>15.4</v>
      </c>
      <c r="D19" s="19">
        <v>15.5</v>
      </c>
      <c r="E19" s="19">
        <v>15.8</v>
      </c>
      <c r="F19" s="21">
        <f>F107</f>
        <v>16</v>
      </c>
      <c r="G19" s="21">
        <f>G107</f>
        <v>16</v>
      </c>
      <c r="H19" s="21">
        <f>H107</f>
        <v>16.5</v>
      </c>
      <c r="I19" s="21">
        <f>I107</f>
        <v>16.5</v>
      </c>
      <c r="J19" s="21">
        <f>J107</f>
        <v>17</v>
      </c>
    </row>
    <row r="20" spans="2:10" x14ac:dyDescent="0.2">
      <c r="B20" s="2" t="s">
        <v>12</v>
      </c>
      <c r="C20" s="4">
        <f t="shared" ref="C20:E20" si="3">C17-C19</f>
        <v>34.79999999999999</v>
      </c>
      <c r="D20" s="4">
        <f t="shared" si="3"/>
        <v>52.900000000000034</v>
      </c>
      <c r="E20" s="4">
        <f t="shared" si="3"/>
        <v>17.299999999999965</v>
      </c>
      <c r="F20" s="22">
        <f>F17-F19</f>
        <v>27.885186800000014</v>
      </c>
      <c r="G20" s="22">
        <f>G17-G19</f>
        <v>31.439452423999995</v>
      </c>
      <c r="H20" s="22">
        <f>H17-H19</f>
        <v>34.667477317319992</v>
      </c>
      <c r="I20" s="22">
        <f>I17-I19</f>
        <v>38.576488197057586</v>
      </c>
      <c r="J20" s="22">
        <f>J17-J19</f>
        <v>39.728782842969338</v>
      </c>
    </row>
    <row r="21" spans="2:10" x14ac:dyDescent="0.2">
      <c r="C21" s="5"/>
      <c r="D21" s="5"/>
      <c r="E21" s="5"/>
      <c r="F21" s="21"/>
      <c r="G21" s="21"/>
      <c r="H21" s="21"/>
      <c r="I21" s="21"/>
      <c r="J21" s="21"/>
    </row>
    <row r="22" spans="2:10" x14ac:dyDescent="0.2">
      <c r="B22" t="s">
        <v>13</v>
      </c>
      <c r="C22" s="19">
        <v>15</v>
      </c>
      <c r="D22" s="19">
        <v>15</v>
      </c>
      <c r="E22" s="19">
        <v>14</v>
      </c>
      <c r="F22" s="21">
        <f>F115+F122</f>
        <v>12.1875</v>
      </c>
      <c r="G22" s="21">
        <f>G115+G122</f>
        <v>11.660642493019177</v>
      </c>
      <c r="H22" s="21">
        <f>H115+H122</f>
        <v>10.716122985847417</v>
      </c>
      <c r="I22" s="21">
        <f>I115+I122</f>
        <v>9.5699488375867432</v>
      </c>
      <c r="J22" s="21">
        <f>J115+J122</f>
        <v>8.2139399815999443</v>
      </c>
    </row>
    <row r="23" spans="2:10" x14ac:dyDescent="0.2">
      <c r="B23" s="2" t="s">
        <v>14</v>
      </c>
      <c r="C23" s="4">
        <f t="shared" ref="C23:E23" si="4">C20-C22</f>
        <v>19.79999999999999</v>
      </c>
      <c r="D23" s="4">
        <f t="shared" si="4"/>
        <v>37.900000000000034</v>
      </c>
      <c r="E23" s="4">
        <f t="shared" si="4"/>
        <v>3.2999999999999652</v>
      </c>
      <c r="F23" s="22">
        <f>F20-F22</f>
        <v>15.697686800000014</v>
      </c>
      <c r="G23" s="22">
        <f>G20-G22</f>
        <v>19.77880993098082</v>
      </c>
      <c r="H23" s="22">
        <f>H20-H22</f>
        <v>23.951354331472576</v>
      </c>
      <c r="I23" s="22">
        <f>I20-I22</f>
        <v>29.006539359470842</v>
      </c>
      <c r="J23" s="22">
        <f>J20-J22</f>
        <v>31.514842861369395</v>
      </c>
    </row>
    <row r="24" spans="2:10" x14ac:dyDescent="0.2">
      <c r="C24" s="5"/>
      <c r="D24" s="5"/>
      <c r="E24" s="5"/>
      <c r="F24" s="21"/>
      <c r="G24" s="21"/>
      <c r="H24" s="21"/>
      <c r="I24" s="21"/>
      <c r="J24" s="21"/>
    </row>
    <row r="25" spans="2:10" x14ac:dyDescent="0.2">
      <c r="B25" t="s">
        <v>15</v>
      </c>
      <c r="C25" s="19">
        <v>3</v>
      </c>
      <c r="D25" s="19">
        <v>8</v>
      </c>
      <c r="E25" s="19">
        <v>0</v>
      </c>
      <c r="F25" s="21">
        <f>MAX(F23*F125,0)</f>
        <v>2.354653020000002</v>
      </c>
      <c r="G25" s="21">
        <f>MAX(G23*G125,0)</f>
        <v>2.9668214896471228</v>
      </c>
      <c r="H25" s="21">
        <f>MAX(H23*H125,0)</f>
        <v>3.5927031497208861</v>
      </c>
      <c r="I25" s="21">
        <f>MAX(I23*I125,0)</f>
        <v>4.3509809039206262</v>
      </c>
      <c r="J25" s="21">
        <f>MAX(J23*J125,0)</f>
        <v>4.7272264292054089</v>
      </c>
    </row>
    <row r="26" spans="2:10" x14ac:dyDescent="0.2">
      <c r="B26" t="s">
        <v>16</v>
      </c>
      <c r="C26" s="19">
        <v>2.7</v>
      </c>
      <c r="D26" s="19">
        <v>6.2</v>
      </c>
      <c r="E26" s="19">
        <v>1.1000000000000001</v>
      </c>
      <c r="F26" s="21">
        <f>MAX(F23*F126,0)</f>
        <v>1.5697686800000015</v>
      </c>
      <c r="G26" s="21">
        <f>MAX(G23*G126,0)</f>
        <v>1.9778809930980821</v>
      </c>
      <c r="H26" s="21">
        <f>MAX(H23*H126,0)</f>
        <v>2.3951354331472579</v>
      </c>
      <c r="I26" s="21">
        <f>MAX(I23*I126,0)</f>
        <v>2.9006539359470844</v>
      </c>
      <c r="J26" s="21">
        <f>MAX(J23*J126,0)</f>
        <v>3.1514842861369399</v>
      </c>
    </row>
    <row r="27" spans="2:10" x14ac:dyDescent="0.2">
      <c r="B27" s="2" t="s">
        <v>17</v>
      </c>
      <c r="C27" s="4">
        <f>C25+C26</f>
        <v>5.7</v>
      </c>
      <c r="D27" s="4">
        <f>D25+D26</f>
        <v>14.2</v>
      </c>
      <c r="E27" s="4">
        <f>E25+E26</f>
        <v>1.1000000000000001</v>
      </c>
      <c r="F27" s="22">
        <f>F25+F26</f>
        <v>3.9244217000000035</v>
      </c>
      <c r="G27" s="22">
        <f>G25+G26</f>
        <v>4.9447024827452051</v>
      </c>
      <c r="H27" s="22">
        <f>H25+H26</f>
        <v>5.987838582868144</v>
      </c>
      <c r="I27" s="22">
        <f>I25+I26</f>
        <v>7.2516348398677106</v>
      </c>
      <c r="J27" s="22">
        <f>J25+J26</f>
        <v>7.8787107153423488</v>
      </c>
    </row>
    <row r="28" spans="2:10" x14ac:dyDescent="0.2">
      <c r="C28" s="5"/>
      <c r="D28" s="5"/>
      <c r="E28" s="5"/>
      <c r="F28" s="21"/>
      <c r="G28" s="21"/>
      <c r="H28" s="21"/>
      <c r="I28" s="21"/>
      <c r="J28" s="21"/>
    </row>
    <row r="29" spans="2:10" ht="16" thickBot="1" x14ac:dyDescent="0.25">
      <c r="B29" s="6" t="s">
        <v>18</v>
      </c>
      <c r="C29" s="7">
        <f t="shared" ref="C29:E29" si="5">C23-C27</f>
        <v>14.099999999999991</v>
      </c>
      <c r="D29" s="7">
        <f t="shared" si="5"/>
        <v>23.700000000000035</v>
      </c>
      <c r="E29" s="7">
        <f t="shared" si="5"/>
        <v>2.1999999999999651</v>
      </c>
      <c r="F29" s="23">
        <f>F23-F27</f>
        <v>11.77326510000001</v>
      </c>
      <c r="G29" s="23">
        <f>G23-G27</f>
        <v>14.834107448235615</v>
      </c>
      <c r="H29" s="23">
        <f>H23-H27</f>
        <v>17.963515748604433</v>
      </c>
      <c r="I29" s="23">
        <f>I23-I27</f>
        <v>21.75490451960313</v>
      </c>
      <c r="J29" s="23">
        <f>J23-J27</f>
        <v>23.636132146027045</v>
      </c>
    </row>
    <row r="30" spans="2:10" ht="16" thickTop="1" x14ac:dyDescent="0.2">
      <c r="F30" s="33"/>
      <c r="G30" s="33"/>
      <c r="H30" s="33"/>
      <c r="I30" s="33"/>
      <c r="J30" s="33"/>
    </row>
    <row r="31" spans="2:10" x14ac:dyDescent="0.2">
      <c r="F31" s="33"/>
      <c r="G31" s="33"/>
      <c r="H31" s="33"/>
      <c r="I31" s="33"/>
      <c r="J31" s="33"/>
    </row>
    <row r="32" spans="2:10" ht="19" x14ac:dyDescent="0.25">
      <c r="C32" s="8" t="s">
        <v>0</v>
      </c>
      <c r="D32" s="8" t="s">
        <v>1</v>
      </c>
      <c r="E32" s="8" t="s">
        <v>2</v>
      </c>
      <c r="F32" s="49" t="s">
        <v>61</v>
      </c>
      <c r="G32" s="49" t="s">
        <v>62</v>
      </c>
      <c r="H32" s="49" t="s">
        <v>63</v>
      </c>
      <c r="I32" s="49" t="s">
        <v>64</v>
      </c>
      <c r="J32" s="49" t="s">
        <v>65</v>
      </c>
    </row>
    <row r="33" spans="2:10" ht="19" x14ac:dyDescent="0.25">
      <c r="B33" s="8" t="s">
        <v>32</v>
      </c>
      <c r="C33" s="14"/>
      <c r="D33" s="14"/>
      <c r="E33" s="14"/>
      <c r="F33" s="50"/>
      <c r="G33" s="50"/>
      <c r="H33" s="50"/>
      <c r="I33" s="50"/>
      <c r="J33" s="50"/>
    </row>
    <row r="34" spans="2:10" x14ac:dyDescent="0.2">
      <c r="C34" s="9"/>
      <c r="D34" s="9"/>
      <c r="E34" s="9"/>
      <c r="F34" s="24"/>
      <c r="G34" s="24"/>
      <c r="H34" s="24"/>
      <c r="I34" s="24"/>
      <c r="J34" s="24"/>
    </row>
    <row r="35" spans="2:10" x14ac:dyDescent="0.2">
      <c r="B35" s="15" t="s">
        <v>33</v>
      </c>
      <c r="C35" s="16"/>
      <c r="D35" s="16"/>
      <c r="E35" s="16"/>
      <c r="F35" s="26"/>
      <c r="G35" s="26"/>
      <c r="H35" s="26"/>
      <c r="I35" s="26"/>
      <c r="J35" s="26"/>
    </row>
    <row r="36" spans="2:10" x14ac:dyDescent="0.2">
      <c r="B36" s="17" t="s">
        <v>34</v>
      </c>
      <c r="C36" s="20">
        <v>14.1</v>
      </c>
      <c r="D36" s="20">
        <v>23.7</v>
      </c>
      <c r="E36" s="20">
        <v>2.2000000000000002</v>
      </c>
      <c r="F36" s="24">
        <f>F29</f>
        <v>11.77326510000001</v>
      </c>
      <c r="G36" s="24">
        <f>G29</f>
        <v>14.834107448235615</v>
      </c>
      <c r="H36" s="24">
        <f>H29</f>
        <v>17.963515748604433</v>
      </c>
      <c r="I36" s="24">
        <f>I29</f>
        <v>21.75490451960313</v>
      </c>
      <c r="J36" s="24">
        <f>J29</f>
        <v>23.636132146027045</v>
      </c>
    </row>
    <row r="37" spans="2:10" x14ac:dyDescent="0.2">
      <c r="B37" s="17" t="s">
        <v>11</v>
      </c>
      <c r="C37" s="20">
        <v>15.4</v>
      </c>
      <c r="D37" s="20">
        <v>15.5</v>
      </c>
      <c r="E37" s="20">
        <v>15.8</v>
      </c>
      <c r="F37" s="24">
        <f>F19</f>
        <v>16</v>
      </c>
      <c r="G37" s="24">
        <f>G19</f>
        <v>16</v>
      </c>
      <c r="H37" s="24">
        <f>H19</f>
        <v>16.5</v>
      </c>
      <c r="I37" s="24">
        <f>I19</f>
        <v>16.5</v>
      </c>
      <c r="J37" s="24">
        <f>J19</f>
        <v>17</v>
      </c>
    </row>
    <row r="38" spans="2:10" x14ac:dyDescent="0.2">
      <c r="B38" s="17" t="s">
        <v>16</v>
      </c>
      <c r="C38" s="20">
        <v>2.7</v>
      </c>
      <c r="D38" s="20">
        <v>6.2</v>
      </c>
      <c r="E38" s="20">
        <v>1.1000000000000001</v>
      </c>
      <c r="F38" s="24">
        <f>F26</f>
        <v>1.5697686800000015</v>
      </c>
      <c r="G38" s="24">
        <f>G26</f>
        <v>1.9778809930980821</v>
      </c>
      <c r="H38" s="24">
        <f>H26</f>
        <v>2.3951354331472579</v>
      </c>
      <c r="I38" s="24">
        <f>I26</f>
        <v>2.9006539359470844</v>
      </c>
      <c r="J38" s="24">
        <f>J26</f>
        <v>3.1514842861369399</v>
      </c>
    </row>
    <row r="39" spans="2:10" x14ac:dyDescent="0.2">
      <c r="B39" s="17" t="s">
        <v>35</v>
      </c>
      <c r="C39" s="20">
        <v>0</v>
      </c>
      <c r="D39" s="20">
        <v>0</v>
      </c>
      <c r="E39" s="20">
        <v>0</v>
      </c>
      <c r="F39" s="24">
        <f>-((F64+F65+F66+F67-F78-F79)-(E64+E65+E66+E67-E78-E79))</f>
        <v>2.3869339726033445E-2</v>
      </c>
      <c r="G39" s="24">
        <f>-((G64+G65+G66+G67-G78-G79)-(F64+F65+F66+F67-F78-F79))</f>
        <v>-1.5663168492328623</v>
      </c>
      <c r="H39" s="24">
        <f>-((H64+H65+H66+H67-H78-H79)-(G64+G65+G66+G67-G78-G79))</f>
        <v>-1.6063173425926038</v>
      </c>
      <c r="I39" s="24">
        <f>-((I64+I65+I66+I67-I78-I79)-(H64+H65+H66+H67-H78-H79))</f>
        <v>-1.6473081803896008</v>
      </c>
      <c r="J39" s="24">
        <f>-((J64+J65+J66+J67-J78-J79)-(I64+I65+I66+I67-I78-I79))</f>
        <v>-1.9438821909746764</v>
      </c>
    </row>
    <row r="40" spans="2:10" x14ac:dyDescent="0.2">
      <c r="B40" s="2" t="s">
        <v>36</v>
      </c>
      <c r="C40" s="18">
        <f>C36+C37+C38+C39</f>
        <v>32.200000000000003</v>
      </c>
      <c r="D40" s="18">
        <f>D36+D37+D38+D39</f>
        <v>45.400000000000006</v>
      </c>
      <c r="E40" s="18">
        <f>E36+E37+E38+E39</f>
        <v>19.100000000000001</v>
      </c>
      <c r="F40" s="25">
        <f>F36+F37+F38+F39</f>
        <v>29.366903119726047</v>
      </c>
      <c r="G40" s="25">
        <f>G36+G37+G38+G39</f>
        <v>31.245671592100834</v>
      </c>
      <c r="H40" s="25">
        <f>H36+H37+H38+H39</f>
        <v>35.252333839159093</v>
      </c>
      <c r="I40" s="25">
        <f>I36+I37+I38+I39</f>
        <v>39.508250275160613</v>
      </c>
      <c r="J40" s="25">
        <f>J36+J37+J38+J39</f>
        <v>41.84373424118931</v>
      </c>
    </row>
    <row r="41" spans="2:10" x14ac:dyDescent="0.2">
      <c r="C41" s="9"/>
      <c r="D41" s="9"/>
      <c r="E41" s="9"/>
      <c r="F41" s="24"/>
      <c r="G41" s="24"/>
      <c r="H41" s="24"/>
      <c r="I41" s="24"/>
      <c r="J41" s="24"/>
    </row>
    <row r="42" spans="2:10" x14ac:dyDescent="0.2">
      <c r="B42" s="15" t="s">
        <v>37</v>
      </c>
      <c r="C42" s="16"/>
      <c r="D42" s="16"/>
      <c r="E42" s="16"/>
      <c r="F42" s="26"/>
      <c r="G42" s="26"/>
      <c r="H42" s="26"/>
      <c r="I42" s="26"/>
      <c r="J42" s="26"/>
    </row>
    <row r="43" spans="2:10" x14ac:dyDescent="0.2">
      <c r="B43" s="17" t="s">
        <v>38</v>
      </c>
      <c r="C43" s="20">
        <v>-14.1</v>
      </c>
      <c r="D43" s="20">
        <v>-15</v>
      </c>
      <c r="E43" s="20">
        <v>-15.5</v>
      </c>
      <c r="F43" s="24">
        <f>F108</f>
        <v>-16</v>
      </c>
      <c r="G43" s="24">
        <f>G108</f>
        <v>-16</v>
      </c>
      <c r="H43" s="24">
        <f>H108</f>
        <v>-16.5</v>
      </c>
      <c r="I43" s="24">
        <f>I108</f>
        <v>-17</v>
      </c>
      <c r="J43" s="24">
        <f>J108</f>
        <v>-17</v>
      </c>
    </row>
    <row r="44" spans="2:10" x14ac:dyDescent="0.2">
      <c r="B44" s="17" t="s">
        <v>39</v>
      </c>
      <c r="C44" s="20">
        <v>-5</v>
      </c>
      <c r="D44" s="20">
        <v>4</v>
      </c>
      <c r="E44" s="20">
        <v>3</v>
      </c>
      <c r="F44" s="24">
        <f>-(F137-E71)</f>
        <v>3</v>
      </c>
      <c r="G44" s="24">
        <f>-(G137-F71)</f>
        <v>3</v>
      </c>
      <c r="H44" s="24">
        <f>-(H137-G71)</f>
        <v>3</v>
      </c>
      <c r="I44" s="24">
        <f>-(I137-H71)</f>
        <v>3</v>
      </c>
      <c r="J44" s="24">
        <f>-(J137-I71)</f>
        <v>0</v>
      </c>
    </row>
    <row r="45" spans="2:10" x14ac:dyDescent="0.2">
      <c r="B45" s="2" t="s">
        <v>40</v>
      </c>
      <c r="C45" s="18">
        <f t="shared" ref="C45:E45" si="6">C43+C44</f>
        <v>-19.100000000000001</v>
      </c>
      <c r="D45" s="18">
        <f t="shared" si="6"/>
        <v>-11</v>
      </c>
      <c r="E45" s="18">
        <f t="shared" si="6"/>
        <v>-12.5</v>
      </c>
      <c r="F45" s="25">
        <f>F43+F44</f>
        <v>-13</v>
      </c>
      <c r="G45" s="25">
        <f>G43+G44</f>
        <v>-13</v>
      </c>
      <c r="H45" s="25">
        <f>H43+H44</f>
        <v>-13.5</v>
      </c>
      <c r="I45" s="25">
        <f>I43+I44</f>
        <v>-14</v>
      </c>
      <c r="J45" s="25">
        <f>J43+J44</f>
        <v>-17</v>
      </c>
    </row>
    <row r="46" spans="2:10" x14ac:dyDescent="0.2">
      <c r="C46" s="9"/>
      <c r="D46" s="9"/>
      <c r="E46" s="9"/>
      <c r="F46" s="24"/>
      <c r="G46" s="24"/>
      <c r="H46" s="24"/>
      <c r="I46" s="24"/>
      <c r="J46" s="24"/>
    </row>
    <row r="47" spans="2:10" x14ac:dyDescent="0.2">
      <c r="B47" s="15" t="s">
        <v>41</v>
      </c>
      <c r="C47" s="16"/>
      <c r="D47" s="16"/>
      <c r="E47" s="16"/>
      <c r="F47" s="26"/>
      <c r="G47" s="26"/>
      <c r="H47" s="26"/>
      <c r="I47" s="26"/>
      <c r="J47" s="26"/>
    </row>
    <row r="48" spans="2:10" x14ac:dyDescent="0.2">
      <c r="B48" s="17" t="s">
        <v>42</v>
      </c>
      <c r="C48" s="20">
        <v>0</v>
      </c>
      <c r="D48" s="20">
        <v>0</v>
      </c>
      <c r="E48" s="20">
        <v>0</v>
      </c>
      <c r="F48" s="24">
        <f>F119</f>
        <v>15.687749900273952</v>
      </c>
      <c r="G48" s="24">
        <f>G119</f>
        <v>9.7211498975462902</v>
      </c>
      <c r="H48" s="24">
        <f>H119</f>
        <v>6.840369310561794</v>
      </c>
      <c r="I48" s="24">
        <f>I119</f>
        <v>3.8427306287600134</v>
      </c>
      <c r="J48" s="24">
        <f>J119</f>
        <v>4.8834921880160991</v>
      </c>
    </row>
    <row r="49" spans="2:10" x14ac:dyDescent="0.2">
      <c r="B49" s="17" t="s">
        <v>43</v>
      </c>
      <c r="C49" s="20">
        <v>-25</v>
      </c>
      <c r="D49" s="20">
        <v>-25</v>
      </c>
      <c r="E49" s="20">
        <v>-25</v>
      </c>
      <c r="F49" s="24">
        <f>F112</f>
        <v>-25</v>
      </c>
      <c r="G49" s="24">
        <f>G112</f>
        <v>-25</v>
      </c>
      <c r="H49" s="24">
        <f>H112</f>
        <v>-25</v>
      </c>
      <c r="I49" s="24">
        <f>I112</f>
        <v>-25</v>
      </c>
      <c r="J49" s="24">
        <f>J112</f>
        <v>-25</v>
      </c>
    </row>
    <row r="50" spans="2:10" x14ac:dyDescent="0.2">
      <c r="B50" s="17" t="s">
        <v>44</v>
      </c>
      <c r="C50" s="20">
        <v>0</v>
      </c>
      <c r="D50" s="20">
        <v>0</v>
      </c>
      <c r="E50" s="20">
        <v>0</v>
      </c>
      <c r="F50" s="24">
        <f>F139</f>
        <v>0</v>
      </c>
      <c r="G50" s="24">
        <f>G139</f>
        <v>0</v>
      </c>
      <c r="H50" s="24">
        <f>H139</f>
        <v>0</v>
      </c>
      <c r="I50" s="24">
        <f>I139</f>
        <v>0</v>
      </c>
      <c r="J50" s="24">
        <f>J139</f>
        <v>0</v>
      </c>
    </row>
    <row r="51" spans="2:10" x14ac:dyDescent="0.2">
      <c r="B51" s="17" t="s">
        <v>45</v>
      </c>
      <c r="C51" s="20">
        <v>-2.8</v>
      </c>
      <c r="D51" s="20">
        <v>-4.7</v>
      </c>
      <c r="E51" s="20">
        <v>-2.4</v>
      </c>
      <c r="F51" s="24">
        <f>-F29*F138</f>
        <v>-2.354653020000002</v>
      </c>
      <c r="G51" s="24">
        <f>-G29*G138</f>
        <v>-2.9668214896471232</v>
      </c>
      <c r="H51" s="24">
        <f>-H29*H138</f>
        <v>-3.5927031497208866</v>
      </c>
      <c r="I51" s="24">
        <f>-I29*I138</f>
        <v>-4.3509809039206262</v>
      </c>
      <c r="J51" s="24">
        <f>-J29*J138</f>
        <v>-4.7272264292054089</v>
      </c>
    </row>
    <row r="52" spans="2:10" x14ac:dyDescent="0.2">
      <c r="B52" s="2" t="s">
        <v>46</v>
      </c>
      <c r="C52" s="18">
        <f>C48+C49+C50+C51</f>
        <v>-27.8</v>
      </c>
      <c r="D52" s="18">
        <f>D48+D49+D50+D51</f>
        <v>-29.7</v>
      </c>
      <c r="E52" s="18">
        <f>E48+E49+E50+E51</f>
        <v>-27.4</v>
      </c>
      <c r="F52" s="25">
        <f>F48+F49+F50+F51</f>
        <v>-11.666903119726051</v>
      </c>
      <c r="G52" s="25">
        <f>G48+G49+G50+G51</f>
        <v>-18.245671592100834</v>
      </c>
      <c r="H52" s="25">
        <f>H48+H49+H50+H51</f>
        <v>-21.752333839159093</v>
      </c>
      <c r="I52" s="25">
        <f>I48+I49+I50+I51</f>
        <v>-25.508250275160613</v>
      </c>
      <c r="J52" s="25">
        <f>J48+J49+J50+J51</f>
        <v>-24.84373424118931</v>
      </c>
    </row>
    <row r="53" spans="2:10" x14ac:dyDescent="0.2">
      <c r="C53" s="9"/>
      <c r="D53" s="9"/>
      <c r="E53" s="9"/>
      <c r="F53" s="24"/>
      <c r="G53" s="24"/>
      <c r="H53" s="24"/>
      <c r="I53" s="24"/>
      <c r="J53" s="24"/>
    </row>
    <row r="54" spans="2:10" x14ac:dyDescent="0.2">
      <c r="B54" t="s">
        <v>47</v>
      </c>
      <c r="C54" s="9">
        <f t="shared" ref="C54:E54" si="7">C40+C45+C52</f>
        <v>-14.7</v>
      </c>
      <c r="D54" s="9">
        <f t="shared" si="7"/>
        <v>4.7000000000000064</v>
      </c>
      <c r="E54" s="9">
        <f t="shared" si="7"/>
        <v>-20.799999999999997</v>
      </c>
      <c r="F54" s="24">
        <f>F40+F45+F52</f>
        <v>4.6999999999999957</v>
      </c>
      <c r="G54" s="24">
        <f>G40+G45+G52</f>
        <v>0</v>
      </c>
      <c r="H54" s="24">
        <f>H40+H45+H52</f>
        <v>0</v>
      </c>
      <c r="I54" s="24">
        <f>I40+I45+I52</f>
        <v>0</v>
      </c>
      <c r="J54" s="24">
        <f>J40+J45+J52</f>
        <v>0</v>
      </c>
    </row>
    <row r="55" spans="2:10" x14ac:dyDescent="0.2">
      <c r="B55" t="s">
        <v>48</v>
      </c>
      <c r="C55" s="20">
        <v>31.1</v>
      </c>
      <c r="D55" s="20">
        <v>16.399999999999999</v>
      </c>
      <c r="E55" s="20">
        <v>21.1</v>
      </c>
      <c r="F55" s="24">
        <f>E56</f>
        <v>0.30000000000000426</v>
      </c>
      <c r="G55" s="24">
        <f>F56</f>
        <v>5</v>
      </c>
      <c r="H55" s="24">
        <f>G56</f>
        <v>5</v>
      </c>
      <c r="I55" s="24">
        <f>H56</f>
        <v>5</v>
      </c>
      <c r="J55" s="24">
        <f>I56</f>
        <v>5</v>
      </c>
    </row>
    <row r="56" spans="2:10" ht="16" thickBot="1" x14ac:dyDescent="0.25">
      <c r="B56" s="6" t="s">
        <v>49</v>
      </c>
      <c r="C56" s="10">
        <f t="shared" ref="C56:E56" si="8">C55+C54</f>
        <v>16.400000000000002</v>
      </c>
      <c r="D56" s="10">
        <f t="shared" si="8"/>
        <v>21.100000000000005</v>
      </c>
      <c r="E56" s="10">
        <f t="shared" si="8"/>
        <v>0.30000000000000426</v>
      </c>
      <c r="F56" s="27">
        <f>F55+F54</f>
        <v>5</v>
      </c>
      <c r="G56" s="27">
        <f>G55+G54</f>
        <v>5</v>
      </c>
      <c r="H56" s="27">
        <f>H55+H54</f>
        <v>5</v>
      </c>
      <c r="I56" s="27">
        <f>I55+I54</f>
        <v>5</v>
      </c>
      <c r="J56" s="27">
        <f>J55+J54</f>
        <v>5</v>
      </c>
    </row>
    <row r="57" spans="2:10" ht="16" thickTop="1" x14ac:dyDescent="0.2">
      <c r="F57" s="33"/>
      <c r="G57" s="33"/>
      <c r="H57" s="33"/>
      <c r="I57" s="33"/>
      <c r="J57" s="33"/>
    </row>
    <row r="58" spans="2:10" x14ac:dyDescent="0.2">
      <c r="F58" s="33"/>
      <c r="G58" s="33"/>
      <c r="H58" s="33"/>
      <c r="I58" s="33"/>
      <c r="J58" s="33"/>
    </row>
    <row r="59" spans="2:10" ht="19" x14ac:dyDescent="0.25">
      <c r="C59" s="8" t="s">
        <v>0</v>
      </c>
      <c r="D59" s="8" t="s">
        <v>1</v>
      </c>
      <c r="E59" s="8" t="s">
        <v>2</v>
      </c>
      <c r="F59" s="49" t="s">
        <v>61</v>
      </c>
      <c r="G59" s="49" t="s">
        <v>62</v>
      </c>
      <c r="H59" s="49" t="s">
        <v>63</v>
      </c>
      <c r="I59" s="49" t="s">
        <v>64</v>
      </c>
      <c r="J59" s="49" t="s">
        <v>65</v>
      </c>
    </row>
    <row r="60" spans="2:10" ht="19" x14ac:dyDescent="0.25">
      <c r="B60" s="8" t="s">
        <v>31</v>
      </c>
      <c r="C60" s="11"/>
      <c r="D60" s="11"/>
      <c r="E60" s="11"/>
      <c r="F60" s="51"/>
      <c r="G60" s="51"/>
      <c r="H60" s="51"/>
      <c r="I60" s="51"/>
      <c r="J60" s="51"/>
    </row>
    <row r="61" spans="2:10" x14ac:dyDescent="0.2">
      <c r="C61" s="5"/>
      <c r="D61" s="5"/>
      <c r="E61" s="5"/>
      <c r="F61" s="21"/>
      <c r="G61" s="21"/>
      <c r="H61" s="21"/>
      <c r="I61" s="21"/>
      <c r="J61" s="21"/>
    </row>
    <row r="62" spans="2:10" x14ac:dyDescent="0.2">
      <c r="B62" s="1" t="s">
        <v>50</v>
      </c>
      <c r="C62" s="3"/>
      <c r="D62" s="3"/>
      <c r="E62" s="3"/>
      <c r="F62" s="28"/>
      <c r="G62" s="28"/>
      <c r="H62" s="28"/>
      <c r="I62" s="28"/>
      <c r="J62" s="28"/>
    </row>
    <row r="63" spans="2:10" x14ac:dyDescent="0.2">
      <c r="B63" s="17" t="s">
        <v>51</v>
      </c>
      <c r="C63" s="19">
        <v>16.399999999999999</v>
      </c>
      <c r="D63" s="19">
        <v>21.1</v>
      </c>
      <c r="E63" s="19">
        <v>0.3</v>
      </c>
      <c r="F63" s="21">
        <f>F56</f>
        <v>5</v>
      </c>
      <c r="G63" s="21">
        <f>G56</f>
        <v>5</v>
      </c>
      <c r="H63" s="21">
        <f>H56</f>
        <v>5</v>
      </c>
      <c r="I63" s="21">
        <f>I56</f>
        <v>5</v>
      </c>
      <c r="J63" s="21">
        <f>J56</f>
        <v>5</v>
      </c>
    </row>
    <row r="64" spans="2:10" x14ac:dyDescent="0.2">
      <c r="B64" s="17" t="s">
        <v>22</v>
      </c>
      <c r="C64" s="19">
        <v>27</v>
      </c>
      <c r="D64" s="19">
        <v>27.8</v>
      </c>
      <c r="E64" s="19">
        <v>28.3</v>
      </c>
      <c r="F64" s="21">
        <f>F8*F129/365</f>
        <v>28.212493150684931</v>
      </c>
      <c r="G64" s="21">
        <f>G8*G129/365</f>
        <v>29.058867945205478</v>
      </c>
      <c r="H64" s="21">
        <f>H8*H129/365</f>
        <v>29.930633983561645</v>
      </c>
      <c r="I64" s="21">
        <f>I8*I129/365</f>
        <v>30.828553003068492</v>
      </c>
      <c r="J64" s="21">
        <f>J8*J129/365</f>
        <v>31.753409593160544</v>
      </c>
    </row>
    <row r="65" spans="2:10" x14ac:dyDescent="0.2">
      <c r="B65" s="17" t="s">
        <v>23</v>
      </c>
      <c r="C65" s="19">
        <v>36.5</v>
      </c>
      <c r="D65" s="19">
        <v>36.1</v>
      </c>
      <c r="E65" s="19">
        <v>35.1</v>
      </c>
      <c r="F65" s="21">
        <f>F12*F130/365</f>
        <v>36.212868098630139</v>
      </c>
      <c r="G65" s="21">
        <f>G12*G130/365</f>
        <v>36.821058575671231</v>
      </c>
      <c r="H65" s="21">
        <f>H12*H130/365</f>
        <v>37.433148900046028</v>
      </c>
      <c r="I65" s="21">
        <f>I12*I130/365</f>
        <v>38.048825691165199</v>
      </c>
      <c r="J65" s="21">
        <f>J12*J130/365</f>
        <v>39.190290461900155</v>
      </c>
    </row>
    <row r="66" spans="2:10" x14ac:dyDescent="0.2">
      <c r="B66" s="17" t="s">
        <v>24</v>
      </c>
      <c r="C66" s="19">
        <v>14.6</v>
      </c>
      <c r="D66" s="19">
        <v>14.4</v>
      </c>
      <c r="E66" s="19">
        <v>14.9</v>
      </c>
      <c r="F66" s="21">
        <f>F10*F132</f>
        <v>14.121471</v>
      </c>
      <c r="G66" s="21">
        <f>G10*G132</f>
        <v>14.545115129999999</v>
      </c>
      <c r="H66" s="21">
        <f>H10*H132</f>
        <v>14.981468583900002</v>
      </c>
      <c r="I66" s="21">
        <f>I10*I132</f>
        <v>15.430912641416999</v>
      </c>
      <c r="J66" s="21">
        <f>J10*J132</f>
        <v>15.893840020659511</v>
      </c>
    </row>
    <row r="67" spans="2:10" x14ac:dyDescent="0.2">
      <c r="B67" s="17" t="s">
        <v>39</v>
      </c>
      <c r="C67" s="19">
        <v>1.4</v>
      </c>
      <c r="D67" s="19">
        <v>1.8</v>
      </c>
      <c r="E67" s="19">
        <v>1.2</v>
      </c>
      <c r="F67" s="21">
        <f>F133</f>
        <v>1.3</v>
      </c>
      <c r="G67" s="21">
        <f>G133</f>
        <v>1.3</v>
      </c>
      <c r="H67" s="21">
        <f>H133</f>
        <v>1.3</v>
      </c>
      <c r="I67" s="21">
        <f>I133</f>
        <v>1.3</v>
      </c>
      <c r="J67" s="21">
        <f>J133</f>
        <v>1.3</v>
      </c>
    </row>
    <row r="68" spans="2:10" x14ac:dyDescent="0.2">
      <c r="B68" s="2" t="s">
        <v>25</v>
      </c>
      <c r="C68" s="4">
        <f>C63+C64+C65+C66+C67</f>
        <v>95.9</v>
      </c>
      <c r="D68" s="4">
        <f>D63+D64+D65+D66+D67</f>
        <v>101.2</v>
      </c>
      <c r="E68" s="4">
        <f>E63+E64+E65+E66+E67</f>
        <v>79.800000000000011</v>
      </c>
      <c r="F68" s="22">
        <f>SUM(F63:F67)</f>
        <v>84.846832249315071</v>
      </c>
      <c r="G68" s="22">
        <f>SUM(G63:G67)</f>
        <v>86.725041650876705</v>
      </c>
      <c r="H68" s="22">
        <f>SUM(H63:H67)</f>
        <v>88.645251467507677</v>
      </c>
      <c r="I68" s="22">
        <f>SUM(I63:I67)</f>
        <v>90.608291335650691</v>
      </c>
      <c r="J68" s="22">
        <f>SUM(J63:J67)</f>
        <v>93.13754007572021</v>
      </c>
    </row>
    <row r="69" spans="2:10" x14ac:dyDescent="0.2">
      <c r="C69" s="5"/>
      <c r="D69" s="5"/>
      <c r="E69" s="5"/>
      <c r="F69" s="21"/>
      <c r="G69" s="21"/>
      <c r="H69" s="21"/>
      <c r="I69" s="21"/>
      <c r="J69" s="21"/>
    </row>
    <row r="70" spans="2:10" x14ac:dyDescent="0.2">
      <c r="B70" s="17" t="s">
        <v>52</v>
      </c>
      <c r="C70" s="19">
        <v>398.5</v>
      </c>
      <c r="D70" s="19">
        <v>398</v>
      </c>
      <c r="E70" s="19">
        <v>397.7</v>
      </c>
      <c r="F70" s="21">
        <f>E70-F43-F19</f>
        <v>397.7</v>
      </c>
      <c r="G70" s="21">
        <f>F70-G43-G19</f>
        <v>397.7</v>
      </c>
      <c r="H70" s="21">
        <f>G70-H43-H19</f>
        <v>397.7</v>
      </c>
      <c r="I70" s="21">
        <f>H70-I43-I19</f>
        <v>398.2</v>
      </c>
      <c r="J70" s="21">
        <f>I70-J43-J19</f>
        <v>398.2</v>
      </c>
    </row>
    <row r="71" spans="2:10" x14ac:dyDescent="0.2">
      <c r="B71" s="17" t="s">
        <v>39</v>
      </c>
      <c r="C71" s="19">
        <v>19</v>
      </c>
      <c r="D71" s="19">
        <v>15</v>
      </c>
      <c r="E71" s="19">
        <v>12</v>
      </c>
      <c r="F71" s="21">
        <f>F137</f>
        <v>9</v>
      </c>
      <c r="G71" s="21">
        <f>G137</f>
        <v>6</v>
      </c>
      <c r="H71" s="21">
        <f>H137</f>
        <v>3</v>
      </c>
      <c r="I71" s="21">
        <f>I137</f>
        <v>0</v>
      </c>
      <c r="J71" s="21">
        <f>J137</f>
        <v>0</v>
      </c>
    </row>
    <row r="72" spans="2:10" x14ac:dyDescent="0.2">
      <c r="B72" s="2" t="s">
        <v>53</v>
      </c>
      <c r="C72" s="4">
        <f t="shared" ref="C72:E72" si="9">C70+C71</f>
        <v>417.5</v>
      </c>
      <c r="D72" s="4">
        <f t="shared" si="9"/>
        <v>413</v>
      </c>
      <c r="E72" s="4">
        <f t="shared" si="9"/>
        <v>409.7</v>
      </c>
      <c r="F72" s="22">
        <f>F70+F71</f>
        <v>406.7</v>
      </c>
      <c r="G72" s="22">
        <f>G70+G71</f>
        <v>403.7</v>
      </c>
      <c r="H72" s="22">
        <f>H70+H71</f>
        <v>400.7</v>
      </c>
      <c r="I72" s="22">
        <f>I70+I71</f>
        <v>398.2</v>
      </c>
      <c r="J72" s="22">
        <f>J70+J71</f>
        <v>398.2</v>
      </c>
    </row>
    <row r="73" spans="2:10" x14ac:dyDescent="0.2">
      <c r="C73" s="5"/>
      <c r="D73" s="5"/>
      <c r="E73" s="5"/>
      <c r="F73" s="21"/>
      <c r="G73" s="21"/>
      <c r="H73" s="21"/>
      <c r="I73" s="21"/>
      <c r="J73" s="21"/>
    </row>
    <row r="74" spans="2:10" ht="16" thickBot="1" x14ac:dyDescent="0.25">
      <c r="B74" s="6" t="s">
        <v>26</v>
      </c>
      <c r="C74" s="7">
        <f t="shared" ref="C74:E74" si="10">C68+C72</f>
        <v>513.4</v>
      </c>
      <c r="D74" s="7">
        <f t="shared" si="10"/>
        <v>514.20000000000005</v>
      </c>
      <c r="E74" s="7">
        <f t="shared" si="10"/>
        <v>489.5</v>
      </c>
      <c r="F74" s="23">
        <f>F68+F72</f>
        <v>491.54683224931506</v>
      </c>
      <c r="G74" s="23">
        <f>G68+G72</f>
        <v>490.42504165087666</v>
      </c>
      <c r="H74" s="23">
        <f>H68+H72</f>
        <v>489.34525146750764</v>
      </c>
      <c r="I74" s="23">
        <f>I68+I72</f>
        <v>488.80829133565067</v>
      </c>
      <c r="J74" s="23">
        <f>J68+J72</f>
        <v>491.3375400757202</v>
      </c>
    </row>
    <row r="75" spans="2:10" ht="16" thickTop="1" x14ac:dyDescent="0.2">
      <c r="C75" s="5"/>
      <c r="D75" s="5"/>
      <c r="E75" s="5"/>
      <c r="F75" s="21"/>
      <c r="G75" s="21"/>
      <c r="H75" s="21"/>
      <c r="I75" s="21"/>
      <c r="J75" s="21"/>
    </row>
    <row r="76" spans="2:10" x14ac:dyDescent="0.2">
      <c r="B76" s="1" t="s">
        <v>54</v>
      </c>
      <c r="C76" s="3"/>
      <c r="D76" s="3"/>
      <c r="E76" s="3"/>
      <c r="F76" s="28"/>
      <c r="G76" s="28"/>
      <c r="H76" s="28"/>
      <c r="I76" s="28"/>
      <c r="J76" s="28"/>
    </row>
    <row r="77" spans="2:10" x14ac:dyDescent="0.2">
      <c r="B77" s="17" t="s">
        <v>55</v>
      </c>
      <c r="C77" s="19">
        <v>0</v>
      </c>
      <c r="D77" s="19">
        <v>0</v>
      </c>
      <c r="E77" s="19">
        <v>0</v>
      </c>
      <c r="F77" s="21">
        <f>F120</f>
        <v>15.687749900273952</v>
      </c>
      <c r="G77" s="21">
        <f>G120</f>
        <v>25.40889979782024</v>
      </c>
      <c r="H77" s="21">
        <f>H120</f>
        <v>32.249269108382038</v>
      </c>
      <c r="I77" s="21">
        <f>I120</f>
        <v>36.091999737142054</v>
      </c>
      <c r="J77" s="21">
        <f>J120</f>
        <v>40.975491925158153</v>
      </c>
    </row>
    <row r="78" spans="2:10" x14ac:dyDescent="0.2">
      <c r="B78" s="17" t="s">
        <v>27</v>
      </c>
      <c r="C78" s="19">
        <v>18.3</v>
      </c>
      <c r="D78" s="19">
        <v>18.7</v>
      </c>
      <c r="E78" s="19">
        <v>18.2</v>
      </c>
      <c r="F78" s="21">
        <f>F12*F131/365</f>
        <v>18.570701589041096</v>
      </c>
      <c r="G78" s="21">
        <f>G12*G131/365</f>
        <v>18.882594141369861</v>
      </c>
      <c r="H78" s="21">
        <f>H12*H131/365</f>
        <v>19.196486615408219</v>
      </c>
      <c r="I78" s="21">
        <f>I12*I131/365</f>
        <v>19.512218303161642</v>
      </c>
      <c r="J78" s="21">
        <f>J12*J131/365</f>
        <v>20.097584852256492</v>
      </c>
    </row>
    <row r="79" spans="2:10" x14ac:dyDescent="0.2">
      <c r="B79" s="17" t="s">
        <v>39</v>
      </c>
      <c r="C79" s="19">
        <v>4.7</v>
      </c>
      <c r="D79" s="19">
        <v>4.9000000000000004</v>
      </c>
      <c r="E79" s="19">
        <v>4.8</v>
      </c>
      <c r="F79" s="21">
        <f>F134</f>
        <v>4.8</v>
      </c>
      <c r="G79" s="21">
        <f>G134</f>
        <v>4.8</v>
      </c>
      <c r="H79" s="21">
        <f>H134</f>
        <v>4.8</v>
      </c>
      <c r="I79" s="21">
        <f>I134</f>
        <v>4.8</v>
      </c>
      <c r="J79" s="21">
        <f>J134</f>
        <v>4.8</v>
      </c>
    </row>
    <row r="80" spans="2:10" x14ac:dyDescent="0.2">
      <c r="B80" s="2" t="s">
        <v>28</v>
      </c>
      <c r="C80" s="4">
        <f>C77+C78+C79</f>
        <v>23</v>
      </c>
      <c r="D80" s="4">
        <f>D77+D78+D79</f>
        <v>23.6</v>
      </c>
      <c r="E80" s="4">
        <f>E77+E78+E79</f>
        <v>23</v>
      </c>
      <c r="F80" s="22">
        <f>F77+F78+F79</f>
        <v>39.058451489315047</v>
      </c>
      <c r="G80" s="22">
        <f>G77+G78+G79</f>
        <v>49.091493939190102</v>
      </c>
      <c r="H80" s="22">
        <f>H77+H78+H79</f>
        <v>56.245755723790253</v>
      </c>
      <c r="I80" s="22">
        <f>I77+I78+I79</f>
        <v>60.404218040303689</v>
      </c>
      <c r="J80" s="22">
        <f>J77+J78+J79</f>
        <v>65.873076777414639</v>
      </c>
    </row>
    <row r="81" spans="2:10" x14ac:dyDescent="0.2">
      <c r="C81" s="5"/>
      <c r="D81" s="5"/>
      <c r="E81" s="5"/>
      <c r="F81" s="21"/>
      <c r="G81" s="21"/>
      <c r="H81" s="21"/>
      <c r="I81" s="21"/>
      <c r="J81" s="21"/>
    </row>
    <row r="82" spans="2:10" x14ac:dyDescent="0.2">
      <c r="B82" s="17" t="s">
        <v>16</v>
      </c>
      <c r="C82" s="19">
        <v>0.7</v>
      </c>
      <c r="D82" s="19">
        <v>6.9</v>
      </c>
      <c r="E82" s="19">
        <v>8</v>
      </c>
      <c r="F82" s="21">
        <f>E82+F26</f>
        <v>9.569768680000001</v>
      </c>
      <c r="G82" s="21">
        <f>F82+G26</f>
        <v>11.547649673098084</v>
      </c>
      <c r="H82" s="21">
        <f>G82+H26</f>
        <v>13.942785106245342</v>
      </c>
      <c r="I82" s="21">
        <f>H82+I26</f>
        <v>16.843439042192426</v>
      </c>
      <c r="J82" s="21">
        <f>I82+J26</f>
        <v>19.994923328329364</v>
      </c>
    </row>
    <row r="83" spans="2:10" x14ac:dyDescent="0.2">
      <c r="B83" s="17" t="s">
        <v>56</v>
      </c>
      <c r="C83" s="19">
        <v>250</v>
      </c>
      <c r="D83" s="19">
        <v>225</v>
      </c>
      <c r="E83" s="19">
        <v>200</v>
      </c>
      <c r="F83" s="21">
        <f>F113</f>
        <v>175</v>
      </c>
      <c r="G83" s="21">
        <f>G113</f>
        <v>150</v>
      </c>
      <c r="H83" s="21">
        <f>H113</f>
        <v>125</v>
      </c>
      <c r="I83" s="21">
        <f>I113</f>
        <v>100</v>
      </c>
      <c r="J83" s="21">
        <f>J113</f>
        <v>75</v>
      </c>
    </row>
    <row r="84" spans="2:10" x14ac:dyDescent="0.2">
      <c r="B84" s="2" t="s">
        <v>57</v>
      </c>
      <c r="C84" s="4">
        <f t="shared" ref="C84:E84" si="11">C82+C83</f>
        <v>250.7</v>
      </c>
      <c r="D84" s="4">
        <f t="shared" si="11"/>
        <v>231.9</v>
      </c>
      <c r="E84" s="4">
        <f t="shared" si="11"/>
        <v>208</v>
      </c>
      <c r="F84" s="22">
        <f>F82+F83</f>
        <v>184.56976868000001</v>
      </c>
      <c r="G84" s="22">
        <f>G82+G83</f>
        <v>161.54764967309808</v>
      </c>
      <c r="H84" s="22">
        <f>H82+H83</f>
        <v>138.94278510624534</v>
      </c>
      <c r="I84" s="22">
        <f>I82+I83</f>
        <v>116.84343904219243</v>
      </c>
      <c r="J84" s="22">
        <f>J82+J83</f>
        <v>94.994923328329364</v>
      </c>
    </row>
    <row r="85" spans="2:10" x14ac:dyDescent="0.2">
      <c r="C85" s="5"/>
      <c r="D85" s="5"/>
      <c r="E85" s="5"/>
      <c r="F85" s="21"/>
      <c r="G85" s="21"/>
      <c r="H85" s="21"/>
      <c r="I85" s="21"/>
      <c r="J85" s="21"/>
    </row>
    <row r="86" spans="2:10" x14ac:dyDescent="0.2">
      <c r="B86" s="2" t="s">
        <v>29</v>
      </c>
      <c r="C86" s="4">
        <f t="shared" ref="C86:E86" si="12">C80+C84</f>
        <v>273.7</v>
      </c>
      <c r="D86" s="4">
        <f t="shared" si="12"/>
        <v>255.5</v>
      </c>
      <c r="E86" s="4">
        <f t="shared" si="12"/>
        <v>231</v>
      </c>
      <c r="F86" s="22">
        <f>F80+F84</f>
        <v>223.62822016931506</v>
      </c>
      <c r="G86" s="22">
        <f>G80+G84</f>
        <v>210.63914361228819</v>
      </c>
      <c r="H86" s="22">
        <f>H80+H84</f>
        <v>195.18854083003561</v>
      </c>
      <c r="I86" s="22">
        <f>I80+I84</f>
        <v>177.24765708249612</v>
      </c>
      <c r="J86" s="22">
        <f>J80+J84</f>
        <v>160.86800010574399</v>
      </c>
    </row>
    <row r="87" spans="2:10" x14ac:dyDescent="0.2">
      <c r="C87" s="5"/>
      <c r="D87" s="5"/>
      <c r="E87" s="5"/>
      <c r="F87" s="21"/>
      <c r="G87" s="21"/>
      <c r="H87" s="21"/>
      <c r="I87" s="21"/>
      <c r="J87" s="21"/>
    </row>
    <row r="88" spans="2:10" x14ac:dyDescent="0.2">
      <c r="B88" s="17" t="s">
        <v>58</v>
      </c>
      <c r="C88" s="19">
        <v>120</v>
      </c>
      <c r="D88" s="19">
        <v>120</v>
      </c>
      <c r="E88" s="19">
        <v>120</v>
      </c>
      <c r="F88" s="21">
        <f>E88+F50</f>
        <v>120</v>
      </c>
      <c r="G88" s="21">
        <f>F88+G50</f>
        <v>120</v>
      </c>
      <c r="H88" s="21">
        <f>G88+H50</f>
        <v>120</v>
      </c>
      <c r="I88" s="21">
        <f>H88+I50</f>
        <v>120</v>
      </c>
      <c r="J88" s="21">
        <f>I88+J50</f>
        <v>120</v>
      </c>
    </row>
    <row r="89" spans="2:10" x14ac:dyDescent="0.2">
      <c r="B89" s="17" t="s">
        <v>30</v>
      </c>
      <c r="C89" s="19">
        <v>119.7</v>
      </c>
      <c r="D89" s="19">
        <v>138.69999999999999</v>
      </c>
      <c r="E89" s="19">
        <v>138.5</v>
      </c>
      <c r="F89" s="21">
        <f>E89+F29+F51</f>
        <v>147.91861208</v>
      </c>
      <c r="G89" s="21">
        <f>F89+G29+G51</f>
        <v>159.7858980385885</v>
      </c>
      <c r="H89" s="21">
        <f>G89+H29+H51</f>
        <v>174.15671063747206</v>
      </c>
      <c r="I89" s="21">
        <f>H89+I29+I51</f>
        <v>191.56063425315455</v>
      </c>
      <c r="J89" s="21">
        <f>I89+J29+J51</f>
        <v>210.46953996997618</v>
      </c>
    </row>
    <row r="90" spans="2:10" x14ac:dyDescent="0.2">
      <c r="B90" s="2" t="s">
        <v>59</v>
      </c>
      <c r="C90" s="4">
        <f t="shared" ref="C90:E90" si="13">C88+C89</f>
        <v>239.7</v>
      </c>
      <c r="D90" s="4">
        <f t="shared" si="13"/>
        <v>258.7</v>
      </c>
      <c r="E90" s="4">
        <f t="shared" si="13"/>
        <v>258.5</v>
      </c>
      <c r="F90" s="22">
        <f>F88+F89</f>
        <v>267.91861208</v>
      </c>
      <c r="G90" s="22">
        <f>G88+G89</f>
        <v>279.78589803858847</v>
      </c>
      <c r="H90" s="22">
        <f>H88+H89</f>
        <v>294.15671063747209</v>
      </c>
      <c r="I90" s="22">
        <f>I88+I89</f>
        <v>311.56063425315455</v>
      </c>
      <c r="J90" s="22">
        <f>J88+J89</f>
        <v>330.46953996997615</v>
      </c>
    </row>
    <row r="91" spans="2:10" x14ac:dyDescent="0.2">
      <c r="C91" s="5"/>
      <c r="D91" s="5"/>
      <c r="E91" s="5"/>
      <c r="F91" s="21"/>
      <c r="G91" s="21"/>
      <c r="H91" s="21"/>
      <c r="I91" s="21"/>
      <c r="J91" s="21"/>
    </row>
    <row r="92" spans="2:10" ht="16" thickBot="1" x14ac:dyDescent="0.25">
      <c r="B92" s="6" t="s">
        <v>60</v>
      </c>
      <c r="C92" s="7">
        <f t="shared" ref="C92:E92" si="14">C86+C90</f>
        <v>513.4</v>
      </c>
      <c r="D92" s="7">
        <f t="shared" si="14"/>
        <v>514.20000000000005</v>
      </c>
      <c r="E92" s="7">
        <f t="shared" si="14"/>
        <v>489.5</v>
      </c>
      <c r="F92" s="23">
        <f>F86+F90</f>
        <v>491.54683224931506</v>
      </c>
      <c r="G92" s="23">
        <f>G86+G90</f>
        <v>490.42504165087666</v>
      </c>
      <c r="H92" s="23">
        <f>H86+H90</f>
        <v>489.34525146750769</v>
      </c>
      <c r="I92" s="23">
        <f>I86+I90</f>
        <v>488.80829133565067</v>
      </c>
      <c r="J92" s="23">
        <f>J86+J90</f>
        <v>491.33754007572014</v>
      </c>
    </row>
    <row r="93" spans="2:10" ht="16" thickTop="1" x14ac:dyDescent="0.2"/>
    <row r="95" spans="2:10" ht="20" thickBot="1" x14ac:dyDescent="0.3">
      <c r="B95" s="46" t="s">
        <v>73</v>
      </c>
      <c r="C95" s="46"/>
      <c r="D95" s="46"/>
      <c r="E95" s="46"/>
      <c r="F95" s="46"/>
      <c r="G95" s="46"/>
      <c r="H95" s="46"/>
      <c r="I95" s="46"/>
      <c r="J95" s="46"/>
    </row>
    <row r="96" spans="2:10" ht="20" thickBot="1" x14ac:dyDescent="0.3">
      <c r="B96" s="47" t="s">
        <v>21</v>
      </c>
      <c r="C96" s="47"/>
      <c r="D96" s="47"/>
      <c r="E96" s="47"/>
      <c r="F96" s="48" t="s">
        <v>61</v>
      </c>
      <c r="G96" s="48" t="s">
        <v>62</v>
      </c>
      <c r="H96" s="48" t="s">
        <v>63</v>
      </c>
      <c r="I96" s="48" t="s">
        <v>64</v>
      </c>
      <c r="J96" s="48" t="s">
        <v>65</v>
      </c>
    </row>
    <row r="97" spans="2:10" x14ac:dyDescent="0.2">
      <c r="B97" s="29" t="s">
        <v>74</v>
      </c>
      <c r="C97" s="29"/>
      <c r="D97" s="29"/>
      <c r="E97" s="29"/>
      <c r="F97" s="39"/>
      <c r="G97" s="39"/>
      <c r="H97" s="39"/>
      <c r="I97" s="39"/>
      <c r="J97" s="39"/>
    </row>
    <row r="98" spans="2:10" ht="16" thickBot="1" x14ac:dyDescent="0.25">
      <c r="B98" t="s">
        <v>75</v>
      </c>
      <c r="F98" s="40">
        <v>0.05</v>
      </c>
      <c r="G98" s="40">
        <v>0.03</v>
      </c>
      <c r="H98" s="40">
        <v>0.03</v>
      </c>
      <c r="I98" s="40">
        <v>0.03</v>
      </c>
      <c r="J98" s="40">
        <v>0.03</v>
      </c>
    </row>
    <row r="99" spans="2:10" x14ac:dyDescent="0.2">
      <c r="B99" s="30" t="s">
        <v>76</v>
      </c>
      <c r="C99" s="30"/>
      <c r="D99" s="30"/>
      <c r="E99" s="30"/>
      <c r="F99" s="41">
        <v>0.13500000000000001</v>
      </c>
      <c r="G99" s="41">
        <v>0.13500000000000001</v>
      </c>
      <c r="H99" s="41">
        <v>0.13500000000000001</v>
      </c>
      <c r="I99" s="41">
        <v>0.13500000000000001</v>
      </c>
      <c r="J99" s="41">
        <v>0.13500000000000001</v>
      </c>
    </row>
    <row r="100" spans="2:10" x14ac:dyDescent="0.2">
      <c r="B100" t="s">
        <v>66</v>
      </c>
      <c r="F100" s="31">
        <v>0.03</v>
      </c>
      <c r="G100" s="31">
        <v>0.04</v>
      </c>
      <c r="H100" s="31">
        <v>0.04</v>
      </c>
      <c r="I100" s="31">
        <v>0.05</v>
      </c>
      <c r="J100" s="31">
        <v>0.05</v>
      </c>
    </row>
    <row r="101" spans="2:10" x14ac:dyDescent="0.2">
      <c r="B101" t="s">
        <v>77</v>
      </c>
      <c r="F101" s="31">
        <v>0.13</v>
      </c>
      <c r="G101" s="31">
        <v>0.13</v>
      </c>
      <c r="H101" s="31">
        <v>0.13</v>
      </c>
      <c r="I101" s="31">
        <v>0.13</v>
      </c>
      <c r="J101" s="31">
        <v>0.13</v>
      </c>
    </row>
    <row r="102" spans="2:10" ht="16" thickBot="1" x14ac:dyDescent="0.25">
      <c r="B102" t="s">
        <v>78</v>
      </c>
      <c r="F102" s="40">
        <v>0.78</v>
      </c>
      <c r="G102" s="40">
        <v>0.77</v>
      </c>
      <c r="H102" s="40">
        <v>0.76</v>
      </c>
      <c r="I102" s="40">
        <v>0.75</v>
      </c>
      <c r="J102" s="40">
        <v>0.75</v>
      </c>
    </row>
    <row r="103" spans="2:10" x14ac:dyDescent="0.2">
      <c r="B103" s="30" t="s">
        <v>79</v>
      </c>
      <c r="C103" s="30"/>
      <c r="D103" s="30"/>
      <c r="E103" s="30"/>
      <c r="F103" s="41">
        <v>1.7999999999999999E-2</v>
      </c>
      <c r="G103" s="41">
        <v>1.7999999999999999E-2</v>
      </c>
      <c r="H103" s="41">
        <v>1.7999999999999999E-2</v>
      </c>
      <c r="I103" s="41">
        <v>1.7999999999999999E-2</v>
      </c>
      <c r="J103" s="41">
        <v>1.7999999999999999E-2</v>
      </c>
    </row>
    <row r="104" spans="2:10" x14ac:dyDescent="0.2">
      <c r="B104" t="s">
        <v>80</v>
      </c>
      <c r="F104" s="31">
        <v>0</v>
      </c>
      <c r="G104" s="31">
        <v>0</v>
      </c>
      <c r="H104" s="31">
        <v>0</v>
      </c>
      <c r="I104" s="31">
        <v>0</v>
      </c>
      <c r="J104" s="31">
        <v>0</v>
      </c>
    </row>
    <row r="105" spans="2:10" x14ac:dyDescent="0.2">
      <c r="B105" t="s">
        <v>67</v>
      </c>
      <c r="F105" s="31">
        <v>1.7999999999999999E-2</v>
      </c>
      <c r="G105" s="31">
        <v>1.7999999999999999E-2</v>
      </c>
      <c r="H105" s="31">
        <v>1.7999999999999999E-2</v>
      </c>
      <c r="I105" s="31">
        <v>1.7000000000000001E-2</v>
      </c>
      <c r="J105" s="31">
        <v>1.7000000000000001E-2</v>
      </c>
    </row>
    <row r="106" spans="2:10" x14ac:dyDescent="0.2">
      <c r="B106" t="s">
        <v>81</v>
      </c>
      <c r="F106" s="32">
        <v>0</v>
      </c>
      <c r="G106" s="32">
        <v>0</v>
      </c>
      <c r="H106" s="32">
        <v>0</v>
      </c>
      <c r="I106" s="32">
        <v>0</v>
      </c>
      <c r="J106" s="32">
        <v>0</v>
      </c>
    </row>
    <row r="107" spans="2:10" ht="16" thickBot="1" x14ac:dyDescent="0.25">
      <c r="B107" t="s">
        <v>82</v>
      </c>
      <c r="F107" s="40">
        <v>16</v>
      </c>
      <c r="G107" s="40">
        <v>16</v>
      </c>
      <c r="H107" s="40">
        <v>16.5</v>
      </c>
      <c r="I107" s="40">
        <v>16.5</v>
      </c>
      <c r="J107" s="40">
        <v>17</v>
      </c>
    </row>
    <row r="108" spans="2:10" x14ac:dyDescent="0.2">
      <c r="B108" s="30" t="s">
        <v>83</v>
      </c>
      <c r="C108" s="30"/>
      <c r="D108" s="30"/>
      <c r="E108" s="30"/>
      <c r="F108" s="41">
        <v>-16</v>
      </c>
      <c r="G108" s="41">
        <v>-16</v>
      </c>
      <c r="H108" s="41">
        <v>-16.5</v>
      </c>
      <c r="I108" s="41">
        <v>-17</v>
      </c>
      <c r="J108" s="41">
        <v>-17</v>
      </c>
    </row>
    <row r="109" spans="2:10" x14ac:dyDescent="0.2">
      <c r="B109" t="s">
        <v>68</v>
      </c>
      <c r="F109" s="32">
        <v>16</v>
      </c>
      <c r="G109" s="32">
        <v>16.3</v>
      </c>
      <c r="H109" s="32">
        <v>16.5</v>
      </c>
      <c r="I109" s="32">
        <v>16.8</v>
      </c>
      <c r="J109" s="32">
        <v>17</v>
      </c>
    </row>
    <row r="110" spans="2:10" x14ac:dyDescent="0.2">
      <c r="B110" t="s">
        <v>84</v>
      </c>
      <c r="F110" s="32">
        <v>16</v>
      </c>
      <c r="G110" s="32">
        <v>16.5</v>
      </c>
      <c r="H110" s="32">
        <v>17</v>
      </c>
      <c r="I110" s="32">
        <v>17.5</v>
      </c>
      <c r="J110" s="32">
        <v>18</v>
      </c>
    </row>
    <row r="111" spans="2:10" ht="16" thickBot="1" x14ac:dyDescent="0.25">
      <c r="B111" t="s">
        <v>85</v>
      </c>
      <c r="F111" s="42">
        <f>E83</f>
        <v>200</v>
      </c>
      <c r="G111" s="42">
        <f>F113</f>
        <v>175</v>
      </c>
      <c r="H111" s="42">
        <f>G113</f>
        <v>150</v>
      </c>
      <c r="I111" s="42">
        <f>H113</f>
        <v>125</v>
      </c>
      <c r="J111" s="42">
        <f>I113</f>
        <v>100</v>
      </c>
    </row>
    <row r="112" spans="2:10" x14ac:dyDescent="0.2">
      <c r="B112" s="30" t="s">
        <v>86</v>
      </c>
      <c r="C112" s="30"/>
      <c r="D112" s="30"/>
      <c r="E112" s="30"/>
      <c r="F112" s="41">
        <v>-25</v>
      </c>
      <c r="G112" s="41">
        <v>-25</v>
      </c>
      <c r="H112" s="41">
        <v>-25</v>
      </c>
      <c r="I112" s="41">
        <v>-25</v>
      </c>
      <c r="J112" s="41">
        <v>-25</v>
      </c>
    </row>
    <row r="113" spans="2:10" x14ac:dyDescent="0.2">
      <c r="B113" t="s">
        <v>87</v>
      </c>
      <c r="F113" s="34">
        <f>F111+F112</f>
        <v>175</v>
      </c>
      <c r="G113" s="34">
        <f>G111+G112</f>
        <v>150</v>
      </c>
      <c r="H113" s="34">
        <f>H111+H112</f>
        <v>125</v>
      </c>
      <c r="I113" s="34">
        <f>I111+I112</f>
        <v>100</v>
      </c>
      <c r="J113" s="34">
        <f>J111+J112</f>
        <v>75</v>
      </c>
    </row>
    <row r="114" spans="2:10" x14ac:dyDescent="0.2">
      <c r="B114" t="s">
        <v>88</v>
      </c>
      <c r="F114" s="32">
        <v>6.5000000000000002E-2</v>
      </c>
      <c r="G114" s="32">
        <v>6.5000000000000002E-2</v>
      </c>
      <c r="H114" s="32">
        <v>6.5000000000000002E-2</v>
      </c>
      <c r="I114" s="32">
        <v>6.5000000000000002E-2</v>
      </c>
      <c r="J114" s="32">
        <v>6.5000000000000002E-2</v>
      </c>
    </row>
    <row r="115" spans="2:10" x14ac:dyDescent="0.2">
      <c r="B115" t="s">
        <v>89</v>
      </c>
      <c r="F115" s="38">
        <f>(F111+F113)/2*F114</f>
        <v>12.1875</v>
      </c>
      <c r="G115" s="38">
        <f>(G111+G113)/2*G114</f>
        <v>10.5625</v>
      </c>
      <c r="H115" s="38">
        <f>(H111+H113)/2*H114</f>
        <v>8.9375</v>
      </c>
      <c r="I115" s="38">
        <f>(I111+I113)/2*I114</f>
        <v>7.3125</v>
      </c>
      <c r="J115" s="38">
        <f>(J111+J113)/2*J114</f>
        <v>5.6875</v>
      </c>
    </row>
    <row r="116" spans="2:10" x14ac:dyDescent="0.2">
      <c r="B116" t="s">
        <v>69</v>
      </c>
      <c r="F116" s="31">
        <v>6.5000000000000002E-2</v>
      </c>
      <c r="G116" s="31">
        <v>6.5000000000000002E-2</v>
      </c>
      <c r="H116" s="31">
        <v>6.5000000000000002E-2</v>
      </c>
      <c r="I116" s="31">
        <v>6.5000000000000002E-2</v>
      </c>
      <c r="J116" s="31">
        <v>6.5000000000000002E-2</v>
      </c>
    </row>
    <row r="117" spans="2:10" x14ac:dyDescent="0.2">
      <c r="B117" t="s">
        <v>90</v>
      </c>
      <c r="F117" s="34">
        <f>(F113+F115)/2*F116</f>
        <v>6.0835937500000004</v>
      </c>
      <c r="G117" s="34">
        <f>(G113+G115)/2*G116</f>
        <v>5.2182812500000004</v>
      </c>
      <c r="H117" s="34">
        <f>(H113+H115)/2*H116</f>
        <v>4.3529687500000005</v>
      </c>
      <c r="I117" s="34">
        <f>(I113+I115)/2*I116</f>
        <v>3.4876562500000001</v>
      </c>
      <c r="J117" s="34">
        <f>(J113+J115)/2*J116</f>
        <v>2.6223437500000002</v>
      </c>
    </row>
    <row r="118" spans="2:10" ht="16" thickBot="1" x14ac:dyDescent="0.25">
      <c r="B118" t="s">
        <v>85</v>
      </c>
      <c r="F118" s="42">
        <f>E77</f>
        <v>0</v>
      </c>
      <c r="G118" s="43">
        <f>F120</f>
        <v>15.687749900273952</v>
      </c>
      <c r="H118" s="43">
        <f>G120</f>
        <v>25.40889979782024</v>
      </c>
      <c r="I118" s="43">
        <f>H120</f>
        <v>32.249269108382038</v>
      </c>
      <c r="J118" s="43">
        <f>I120</f>
        <v>36.091999737142054</v>
      </c>
    </row>
    <row r="119" spans="2:10" x14ac:dyDescent="0.2">
      <c r="B119" s="30" t="s">
        <v>91</v>
      </c>
      <c r="C119" s="30"/>
      <c r="D119" s="30"/>
      <c r="E119" s="30"/>
      <c r="F119" s="44">
        <f>MAX($F$140-(E56+F40+F45+F112+F50+F51),-F118)</f>
        <v>15.687749900273952</v>
      </c>
      <c r="G119" s="44">
        <f>MAX($F$140-(F56+G40+G45+G112+G50+G51),-G118)</f>
        <v>9.7211498975462902</v>
      </c>
      <c r="H119" s="44">
        <f>MAX($F$140-(G56+H40+H45+H112+H50+H51),-H118)</f>
        <v>6.840369310561794</v>
      </c>
      <c r="I119" s="44">
        <f>MAX($F$140-(H56+I40+I45+I112+I50+I51),-I118)</f>
        <v>3.8427306287600134</v>
      </c>
      <c r="J119" s="44">
        <f>MAX($F$140-(I56+J40+J45+J112+J50+J51),-J118)</f>
        <v>4.8834921880160991</v>
      </c>
    </row>
    <row r="120" spans="2:10" x14ac:dyDescent="0.2">
      <c r="B120" t="s">
        <v>87</v>
      </c>
      <c r="F120" s="35">
        <f>F118+F119</f>
        <v>15.687749900273952</v>
      </c>
      <c r="G120" s="35">
        <f>G118+G119</f>
        <v>25.40889979782024</v>
      </c>
      <c r="H120" s="35">
        <f>H118+H119</f>
        <v>32.249269108382038</v>
      </c>
      <c r="I120" s="35">
        <f>I118+I119</f>
        <v>36.091999737142054</v>
      </c>
      <c r="J120" s="35">
        <f>J118+J119</f>
        <v>40.975491925158153</v>
      </c>
    </row>
    <row r="121" spans="2:10" x14ac:dyDescent="0.2">
      <c r="B121" t="s">
        <v>88</v>
      </c>
      <c r="F121" s="35">
        <v>7.0000000000000007E-2</v>
      </c>
      <c r="G121" s="35">
        <v>7.0000000000000007E-2</v>
      </c>
      <c r="H121" s="35">
        <v>7.0000000000000007E-2</v>
      </c>
      <c r="I121" s="35">
        <v>7.0000000000000007E-2</v>
      </c>
      <c r="J121" s="35">
        <v>7.0000000000000007E-2</v>
      </c>
    </row>
    <row r="122" spans="2:10" x14ac:dyDescent="0.2">
      <c r="B122" t="s">
        <v>89</v>
      </c>
      <c r="F122" s="38">
        <f>F118*F121</f>
        <v>0</v>
      </c>
      <c r="G122" s="38">
        <f>G118*G121</f>
        <v>1.0981424930191768</v>
      </c>
      <c r="H122" s="38">
        <f>H118*H121</f>
        <v>1.778622985847417</v>
      </c>
      <c r="I122" s="38">
        <f>I118*I121</f>
        <v>2.2574488375867428</v>
      </c>
      <c r="J122" s="38">
        <f>J118*J121</f>
        <v>2.5264399815999439</v>
      </c>
    </row>
    <row r="123" spans="2:10" x14ac:dyDescent="0.2">
      <c r="B123" t="s">
        <v>69</v>
      </c>
      <c r="F123" s="31">
        <v>7.0000000000000007E-2</v>
      </c>
      <c r="G123" s="31">
        <v>7.0000000000000007E-2</v>
      </c>
      <c r="H123" s="31">
        <v>7.0000000000000007E-2</v>
      </c>
      <c r="I123" s="31">
        <v>7.0000000000000007E-2</v>
      </c>
      <c r="J123" s="31">
        <v>7.0000000000000007E-2</v>
      </c>
    </row>
    <row r="124" spans="2:10" x14ac:dyDescent="0.2">
      <c r="B124" t="s">
        <v>92</v>
      </c>
      <c r="F124" s="35">
        <f>F120*F123</f>
        <v>1.0981424930191768</v>
      </c>
      <c r="G124" s="35">
        <f>G120*G123</f>
        <v>1.778622985847417</v>
      </c>
      <c r="H124" s="35">
        <f>H120*H123</f>
        <v>2.2574488375867428</v>
      </c>
      <c r="I124" s="35">
        <f>I120*I123</f>
        <v>2.5264399815999439</v>
      </c>
      <c r="J124" s="35">
        <f>J120*J123</f>
        <v>2.8682844347610708</v>
      </c>
    </row>
    <row r="125" spans="2:10" ht="16" thickBot="1" x14ac:dyDescent="0.25">
      <c r="B125" t="s">
        <v>93</v>
      </c>
      <c r="F125" s="40">
        <v>0.15</v>
      </c>
      <c r="G125" s="40">
        <v>0.15</v>
      </c>
      <c r="H125" s="40">
        <v>0.15</v>
      </c>
      <c r="I125" s="40">
        <v>0.15</v>
      </c>
      <c r="J125" s="40">
        <v>0.15</v>
      </c>
    </row>
    <row r="126" spans="2:10" x14ac:dyDescent="0.2">
      <c r="B126" s="30" t="s">
        <v>94</v>
      </c>
      <c r="C126" s="30"/>
      <c r="D126" s="30"/>
      <c r="E126" s="30"/>
      <c r="F126" s="41">
        <v>0.1</v>
      </c>
      <c r="G126" s="41">
        <v>0.1</v>
      </c>
      <c r="H126" s="41">
        <v>0.1</v>
      </c>
      <c r="I126" s="41">
        <v>0.1</v>
      </c>
      <c r="J126" s="41">
        <v>0.1</v>
      </c>
    </row>
    <row r="127" spans="2:10" x14ac:dyDescent="0.2">
      <c r="B127" t="s">
        <v>70</v>
      </c>
      <c r="F127" s="31">
        <v>0.15</v>
      </c>
      <c r="G127" s="31">
        <v>0.15</v>
      </c>
      <c r="H127" s="31">
        <v>0.15</v>
      </c>
      <c r="I127" s="31">
        <v>0.15</v>
      </c>
      <c r="J127" s="31">
        <v>0.15</v>
      </c>
    </row>
    <row r="128" spans="2:10" x14ac:dyDescent="0.2">
      <c r="B128" t="s">
        <v>95</v>
      </c>
      <c r="F128" s="31">
        <v>0.1</v>
      </c>
      <c r="G128" s="31">
        <v>0.1</v>
      </c>
      <c r="H128" s="31">
        <v>0.1</v>
      </c>
      <c r="I128" s="31">
        <v>0.1</v>
      </c>
      <c r="J128" s="31">
        <v>0.1</v>
      </c>
    </row>
    <row r="129" spans="2:10" ht="16" thickBot="1" x14ac:dyDescent="0.25">
      <c r="B129" t="s">
        <v>96</v>
      </c>
      <c r="F129" s="40">
        <v>41</v>
      </c>
      <c r="G129" s="40">
        <v>41</v>
      </c>
      <c r="H129" s="40">
        <v>41</v>
      </c>
      <c r="I129" s="40">
        <v>41</v>
      </c>
      <c r="J129" s="40">
        <v>41</v>
      </c>
    </row>
    <row r="130" spans="2:10" x14ac:dyDescent="0.2">
      <c r="B130" s="30" t="s">
        <v>97</v>
      </c>
      <c r="C130" s="30"/>
      <c r="D130" s="30"/>
      <c r="E130" s="30"/>
      <c r="F130" s="41">
        <v>78</v>
      </c>
      <c r="G130" s="41">
        <v>78</v>
      </c>
      <c r="H130" s="41">
        <v>78</v>
      </c>
      <c r="I130" s="41">
        <v>78</v>
      </c>
      <c r="J130" s="41">
        <v>78</v>
      </c>
    </row>
    <row r="131" spans="2:10" x14ac:dyDescent="0.2">
      <c r="B131" t="s">
        <v>98</v>
      </c>
      <c r="F131" s="36">
        <v>40</v>
      </c>
      <c r="G131" s="36">
        <v>40</v>
      </c>
      <c r="H131" s="36">
        <v>40</v>
      </c>
      <c r="I131" s="36">
        <v>40</v>
      </c>
      <c r="J131" s="36">
        <v>40</v>
      </c>
    </row>
    <row r="132" spans="2:10" x14ac:dyDescent="0.2">
      <c r="B132" t="s">
        <v>99</v>
      </c>
      <c r="F132" s="36">
        <v>6.5000000000000002E-2</v>
      </c>
      <c r="G132" s="36">
        <v>6.5000000000000002E-2</v>
      </c>
      <c r="H132" s="36">
        <v>6.5000000000000002E-2</v>
      </c>
      <c r="I132" s="36">
        <v>6.5000000000000002E-2</v>
      </c>
      <c r="J132" s="36">
        <v>6.5000000000000002E-2</v>
      </c>
    </row>
    <row r="133" spans="2:10" x14ac:dyDescent="0.2">
      <c r="B133" t="s">
        <v>100</v>
      </c>
      <c r="F133" s="36">
        <v>1.3</v>
      </c>
      <c r="G133" s="36">
        <v>1.3</v>
      </c>
      <c r="H133" s="36">
        <v>1.3</v>
      </c>
      <c r="I133" s="36">
        <v>1.3</v>
      </c>
      <c r="J133" s="36">
        <v>1.3</v>
      </c>
    </row>
    <row r="134" spans="2:10" x14ac:dyDescent="0.2">
      <c r="B134" t="s">
        <v>101</v>
      </c>
      <c r="F134" s="31">
        <v>4.8</v>
      </c>
      <c r="G134" s="31">
        <v>4.8</v>
      </c>
      <c r="H134" s="31">
        <v>4.8</v>
      </c>
      <c r="I134" s="31">
        <v>4.8</v>
      </c>
      <c r="J134" s="31">
        <v>4.8</v>
      </c>
    </row>
    <row r="135" spans="2:10" ht="16" thickBot="1" x14ac:dyDescent="0.25">
      <c r="F135" s="40"/>
      <c r="G135" s="40"/>
      <c r="H135" s="40"/>
      <c r="I135" s="40"/>
      <c r="J135" s="40"/>
    </row>
    <row r="136" spans="2:10" x14ac:dyDescent="0.2">
      <c r="B136" s="30" t="s">
        <v>102</v>
      </c>
      <c r="C136" s="30"/>
      <c r="D136" s="30"/>
      <c r="E136" s="30"/>
      <c r="F136" s="41"/>
      <c r="G136" s="41"/>
      <c r="H136" s="41"/>
      <c r="I136" s="41"/>
      <c r="J136" s="41"/>
    </row>
    <row r="137" spans="2:10" x14ac:dyDescent="0.2">
      <c r="B137" t="s">
        <v>103</v>
      </c>
      <c r="F137" s="32">
        <v>9</v>
      </c>
      <c r="G137" s="32">
        <v>6</v>
      </c>
      <c r="H137" s="32">
        <v>3</v>
      </c>
      <c r="I137" s="32">
        <v>0</v>
      </c>
      <c r="J137" s="32">
        <v>0</v>
      </c>
    </row>
    <row r="138" spans="2:10" x14ac:dyDescent="0.2">
      <c r="B138" t="s">
        <v>104</v>
      </c>
      <c r="F138" s="32">
        <v>0.2</v>
      </c>
      <c r="G138" s="32">
        <v>0.2</v>
      </c>
      <c r="H138" s="32">
        <v>0.2</v>
      </c>
      <c r="I138" s="32">
        <v>0.2</v>
      </c>
      <c r="J138" s="32">
        <v>0.2</v>
      </c>
    </row>
    <row r="139" spans="2:10" x14ac:dyDescent="0.2">
      <c r="B139" t="s">
        <v>105</v>
      </c>
      <c r="F139" s="32">
        <v>0</v>
      </c>
      <c r="G139" s="32">
        <v>0</v>
      </c>
      <c r="H139" s="32">
        <v>0</v>
      </c>
      <c r="I139" s="32">
        <v>0</v>
      </c>
      <c r="J139" s="32">
        <v>0</v>
      </c>
    </row>
    <row r="140" spans="2:10" x14ac:dyDescent="0.2">
      <c r="B140" t="s">
        <v>106</v>
      </c>
      <c r="F140" s="31">
        <v>5</v>
      </c>
      <c r="G140" s="31">
        <v>0.2</v>
      </c>
      <c r="H140" s="31">
        <v>0.2</v>
      </c>
      <c r="I140" s="31">
        <v>0.2</v>
      </c>
      <c r="J140" s="31">
        <v>0.2</v>
      </c>
    </row>
    <row r="141" spans="2:10" x14ac:dyDescent="0.2">
      <c r="B141" t="s">
        <v>71</v>
      </c>
      <c r="F141" s="32">
        <v>0</v>
      </c>
      <c r="G141" s="32">
        <v>0</v>
      </c>
      <c r="H141" s="32">
        <v>0</v>
      </c>
      <c r="I141" s="32">
        <v>0</v>
      </c>
      <c r="J141" s="32">
        <v>0</v>
      </c>
    </row>
    <row r="142" spans="2:10" x14ac:dyDescent="0.2">
      <c r="B142" t="s">
        <v>107</v>
      </c>
      <c r="F142" s="32">
        <v>5</v>
      </c>
      <c r="G142" s="32">
        <v>5</v>
      </c>
      <c r="H142" s="32">
        <v>5</v>
      </c>
      <c r="I142" s="32">
        <v>5</v>
      </c>
      <c r="J142" s="32">
        <v>5</v>
      </c>
    </row>
    <row r="143" spans="2:10" x14ac:dyDescent="0.2">
      <c r="B143" t="s">
        <v>108</v>
      </c>
      <c r="F143" s="45">
        <f>F74-F92</f>
        <v>0</v>
      </c>
      <c r="G143" s="45">
        <f>G74-G92</f>
        <v>0</v>
      </c>
      <c r="H143" s="45">
        <f>H74-H92</f>
        <v>0</v>
      </c>
      <c r="I143" s="45">
        <f>I74-I92</f>
        <v>0</v>
      </c>
      <c r="J143" s="45">
        <f>J74-J92</f>
        <v>0</v>
      </c>
    </row>
    <row r="144" spans="2:10" ht="16" thickBot="1" x14ac:dyDescent="0.25">
      <c r="B144" t="s">
        <v>72</v>
      </c>
      <c r="F144" s="37">
        <f>F74-F92</f>
        <v>0</v>
      </c>
      <c r="G144" s="37">
        <f>G74-G92</f>
        <v>0</v>
      </c>
      <c r="H144" s="37">
        <f>H74-H92</f>
        <v>0</v>
      </c>
      <c r="I144" s="37">
        <f>I74-I92</f>
        <v>0</v>
      </c>
      <c r="J144" s="37">
        <f>J74-J92</f>
        <v>0</v>
      </c>
    </row>
    <row r="14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Ingraham</dc:creator>
  <cp:lastModifiedBy>David Ingraham</cp:lastModifiedBy>
  <dcterms:created xsi:type="dcterms:W3CDTF">2026-02-05T23:40:38Z</dcterms:created>
  <dcterms:modified xsi:type="dcterms:W3CDTF">2026-02-27T01:58:38Z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perfect_conv_1">
    <vt:lpwstr>{"filename":"FPA Guy Three Statement Model Blank.xlsx","conversation_id":"conv_1772144748799_16e73ab4fc6e1e"}</vt:lpwstr>
  </property>
</Properties>
</file>
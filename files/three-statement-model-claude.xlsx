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vidingraham/hyperperfect/assets/marketing_content/"/>
    </mc:Choice>
  </mc:AlternateContent>
  <xr:revisionPtr revIDLastSave="0" documentId="13_ncr:1_{14166168-0C9E-8B44-96FF-D82EDB6496A9}" xr6:coauthVersionLast="47" xr6:coauthVersionMax="47" xr10:uidLastSave="{00000000-0000-0000-0000-000000000000}"/>
  <bookViews>
    <workbookView xWindow="15220" yWindow="600" windowWidth="35980" windowHeight="27240" xr2:uid="{F40DE117-81A4-2645-A9FD-5FBD92333832}"/>
  </bookViews>
  <sheets>
    <sheet name="Financials" sheetId="2" r:id="rId1"/>
    <sheet name="Assumptions" sheetId="3" r:id="rId2"/>
    <sheet name="Claude Log" sheetId="4" r:id="rId3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2" l="1"/>
  <c r="J90" i="2"/>
  <c r="J89" i="2"/>
  <c r="J88" i="2"/>
  <c r="J86" i="2"/>
  <c r="J84" i="2"/>
  <c r="J83" i="2"/>
  <c r="J80" i="2"/>
  <c r="J79" i="2"/>
  <c r="J78" i="2"/>
  <c r="J77" i="2"/>
  <c r="J72" i="2"/>
  <c r="J71" i="2"/>
  <c r="J70" i="2"/>
  <c r="J67" i="2"/>
  <c r="J66" i="2"/>
  <c r="J65" i="2"/>
  <c r="J64" i="2"/>
  <c r="J55" i="2"/>
  <c r="J52" i="2"/>
  <c r="J51" i="2"/>
  <c r="J50" i="2"/>
  <c r="J49" i="2"/>
  <c r="J48" i="2"/>
  <c r="J45" i="2"/>
  <c r="J44" i="2"/>
  <c r="J43" i="2"/>
  <c r="J39" i="2"/>
  <c r="J37" i="2"/>
  <c r="I92" i="2"/>
  <c r="I90" i="2"/>
  <c r="I89" i="2"/>
  <c r="I88" i="2"/>
  <c r="I86" i="2"/>
  <c r="I84" i="2"/>
  <c r="I83" i="2"/>
  <c r="I80" i="2"/>
  <c r="I79" i="2"/>
  <c r="I78" i="2"/>
  <c r="I77" i="2"/>
  <c r="I72" i="2"/>
  <c r="I71" i="2"/>
  <c r="I70" i="2"/>
  <c r="I67" i="2"/>
  <c r="I66" i="2"/>
  <c r="I65" i="2"/>
  <c r="I64" i="2"/>
  <c r="I55" i="2"/>
  <c r="I52" i="2"/>
  <c r="I51" i="2"/>
  <c r="I50" i="2"/>
  <c r="I49" i="2"/>
  <c r="I48" i="2"/>
  <c r="I45" i="2"/>
  <c r="I44" i="2"/>
  <c r="I43" i="2"/>
  <c r="I39" i="2"/>
  <c r="I37" i="2"/>
  <c r="H92" i="2"/>
  <c r="H90" i="2"/>
  <c r="H89" i="2"/>
  <c r="H88" i="2"/>
  <c r="H86" i="2"/>
  <c r="H84" i="2"/>
  <c r="H83" i="2"/>
  <c r="H80" i="2"/>
  <c r="H79" i="2"/>
  <c r="H78" i="2"/>
  <c r="H77" i="2"/>
  <c r="H72" i="2"/>
  <c r="H71" i="2"/>
  <c r="H70" i="2"/>
  <c r="H67" i="2"/>
  <c r="H66" i="2"/>
  <c r="H65" i="2"/>
  <c r="H64" i="2"/>
  <c r="H55" i="2"/>
  <c r="H52" i="2"/>
  <c r="H51" i="2"/>
  <c r="H50" i="2"/>
  <c r="H49" i="2"/>
  <c r="H48" i="2"/>
  <c r="H45" i="2"/>
  <c r="H44" i="2"/>
  <c r="H43" i="2"/>
  <c r="H39" i="2"/>
  <c r="H37" i="2"/>
  <c r="G92" i="2"/>
  <c r="G90" i="2"/>
  <c r="G89" i="2"/>
  <c r="G88" i="2"/>
  <c r="G86" i="2"/>
  <c r="G84" i="2"/>
  <c r="G83" i="2"/>
  <c r="G80" i="2"/>
  <c r="G79" i="2"/>
  <c r="G78" i="2"/>
  <c r="G77" i="2"/>
  <c r="G72" i="2"/>
  <c r="G71" i="2"/>
  <c r="G70" i="2"/>
  <c r="G67" i="2"/>
  <c r="G66" i="2"/>
  <c r="G65" i="2"/>
  <c r="G64" i="2"/>
  <c r="G55" i="2"/>
  <c r="G52" i="2"/>
  <c r="G51" i="2"/>
  <c r="G50" i="2"/>
  <c r="G49" i="2"/>
  <c r="G48" i="2"/>
  <c r="G45" i="2"/>
  <c r="G44" i="2"/>
  <c r="G43" i="2"/>
  <c r="G39" i="2"/>
  <c r="G37" i="2"/>
  <c r="F89" i="2"/>
  <c r="F90" i="2"/>
  <c r="F92" i="2" s="1"/>
  <c r="F88" i="2"/>
  <c r="F86" i="2"/>
  <c r="F84" i="2"/>
  <c r="F83" i="2"/>
  <c r="F80" i="2"/>
  <c r="F79" i="2"/>
  <c r="F78" i="2"/>
  <c r="F77" i="2"/>
  <c r="F70" i="2"/>
  <c r="F72" i="2"/>
  <c r="F71" i="2"/>
  <c r="F67" i="2"/>
  <c r="F66" i="2"/>
  <c r="F65" i="2"/>
  <c r="F64" i="2"/>
  <c r="F55" i="2"/>
  <c r="F52" i="2"/>
  <c r="F51" i="2"/>
  <c r="F50" i="2"/>
  <c r="F49" i="2"/>
  <c r="F48" i="2"/>
  <c r="F45" i="2"/>
  <c r="F44" i="2"/>
  <c r="F43" i="2"/>
  <c r="F39" i="2"/>
  <c r="F37" i="2"/>
  <c r="J22" i="2"/>
  <c r="J23" i="2" s="1"/>
  <c r="J20" i="2"/>
  <c r="J19" i="2"/>
  <c r="J17" i="2"/>
  <c r="J16" i="2"/>
  <c r="J14" i="2"/>
  <c r="J13" i="2"/>
  <c r="J12" i="2"/>
  <c r="J10" i="2"/>
  <c r="J9" i="2"/>
  <c r="J8" i="2"/>
  <c r="I22" i="2"/>
  <c r="I23" i="2" s="1"/>
  <c r="I20" i="2"/>
  <c r="I19" i="2"/>
  <c r="I17" i="2"/>
  <c r="I16" i="2"/>
  <c r="I14" i="2"/>
  <c r="I13" i="2"/>
  <c r="I12" i="2"/>
  <c r="I10" i="2"/>
  <c r="I9" i="2"/>
  <c r="I8" i="2"/>
  <c r="H22" i="2"/>
  <c r="H23" i="2" s="1"/>
  <c r="H20" i="2"/>
  <c r="H19" i="2"/>
  <c r="H17" i="2"/>
  <c r="H16" i="2"/>
  <c r="H14" i="2"/>
  <c r="H13" i="2"/>
  <c r="H12" i="2"/>
  <c r="H10" i="2"/>
  <c r="H9" i="2"/>
  <c r="H8" i="2"/>
  <c r="G22" i="2"/>
  <c r="G23" i="2" s="1"/>
  <c r="G20" i="2"/>
  <c r="G19" i="2"/>
  <c r="G17" i="2"/>
  <c r="G16" i="2"/>
  <c r="G14" i="2"/>
  <c r="G13" i="2"/>
  <c r="G12" i="2"/>
  <c r="G10" i="2"/>
  <c r="G9" i="2"/>
  <c r="G8" i="2"/>
  <c r="F22" i="2"/>
  <c r="F23" i="2" s="1"/>
  <c r="F20" i="2"/>
  <c r="F19" i="2"/>
  <c r="F17" i="2"/>
  <c r="F16" i="2"/>
  <c r="F14" i="2"/>
  <c r="F13" i="2"/>
  <c r="F12" i="2"/>
  <c r="F10" i="2"/>
  <c r="F9" i="2"/>
  <c r="F8" i="2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F29" i="3"/>
  <c r="E29" i="3"/>
  <c r="D29" i="3"/>
  <c r="F28" i="3"/>
  <c r="E28" i="3"/>
  <c r="D28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7" i="3"/>
  <c r="E17" i="3"/>
  <c r="D17" i="3"/>
  <c r="F16" i="3"/>
  <c r="E16" i="3"/>
  <c r="D16" i="3"/>
  <c r="F15" i="3"/>
  <c r="E15" i="3"/>
  <c r="D15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C68" i="2"/>
  <c r="D68" i="2"/>
  <c r="E68" i="2"/>
  <c r="C72" i="2"/>
  <c r="D72" i="2"/>
  <c r="E72" i="2"/>
  <c r="E74" i="2" s="1"/>
  <c r="C74" i="2"/>
  <c r="C80" i="2"/>
  <c r="D80" i="2"/>
  <c r="E80" i="2"/>
  <c r="C84" i="2"/>
  <c r="D84" i="2"/>
  <c r="E84" i="2"/>
  <c r="E86" i="2"/>
  <c r="C90" i="2"/>
  <c r="D90" i="2"/>
  <c r="E90" i="2"/>
  <c r="C40" i="2"/>
  <c r="D40" i="2"/>
  <c r="E40" i="2"/>
  <c r="C45" i="2"/>
  <c r="D45" i="2"/>
  <c r="E45" i="2"/>
  <c r="C52" i="2"/>
  <c r="D52" i="2"/>
  <c r="E52" i="2"/>
  <c r="C10" i="2"/>
  <c r="D10" i="2"/>
  <c r="E10" i="2"/>
  <c r="C14" i="2"/>
  <c r="D14" i="2"/>
  <c r="E14" i="2"/>
  <c r="C17" i="2"/>
  <c r="C20" i="2" s="1"/>
  <c r="C23" i="2" s="1"/>
  <c r="C27" i="2"/>
  <c r="D27" i="2"/>
  <c r="E27" i="2"/>
  <c r="J26" i="2" l="1"/>
  <c r="J38" i="2" s="1"/>
  <c r="J82" i="2" s="1"/>
  <c r="J25" i="2"/>
  <c r="J27" i="2" s="1"/>
  <c r="J29" i="2" s="1"/>
  <c r="J36" i="2" s="1"/>
  <c r="J40" i="2" s="1"/>
  <c r="J54" i="2" s="1"/>
  <c r="J56" i="2" s="1"/>
  <c r="J63" i="2" s="1"/>
  <c r="J68" i="2" s="1"/>
  <c r="J74" i="2" s="1"/>
  <c r="I26" i="2"/>
  <c r="I38" i="2" s="1"/>
  <c r="I82" i="2" s="1"/>
  <c r="I25" i="2"/>
  <c r="I27" i="2" s="1"/>
  <c r="I29" i="2" s="1"/>
  <c r="I36" i="2" s="1"/>
  <c r="I40" i="2" s="1"/>
  <c r="I54" i="2" s="1"/>
  <c r="I56" i="2" s="1"/>
  <c r="I63" i="2" s="1"/>
  <c r="I68" i="2" s="1"/>
  <c r="I74" i="2" s="1"/>
  <c r="H26" i="2"/>
  <c r="H38" i="2" s="1"/>
  <c r="H82" i="2" s="1"/>
  <c r="H25" i="2"/>
  <c r="H27" i="2" s="1"/>
  <c r="H29" i="2" s="1"/>
  <c r="H36" i="2" s="1"/>
  <c r="H40" i="2" s="1"/>
  <c r="H54" i="2" s="1"/>
  <c r="H56" i="2" s="1"/>
  <c r="H63" i="2" s="1"/>
  <c r="H68" i="2" s="1"/>
  <c r="H74" i="2" s="1"/>
  <c r="F26" i="2"/>
  <c r="F38" i="2" s="1"/>
  <c r="F82" i="2" s="1"/>
  <c r="F25" i="2"/>
  <c r="F27" i="2" s="1"/>
  <c r="F29" i="2" s="1"/>
  <c r="F36" i="2" s="1"/>
  <c r="G26" i="2"/>
  <c r="G38" i="2" s="1"/>
  <c r="G82" i="2" s="1"/>
  <c r="G25" i="2"/>
  <c r="G27" i="2" s="1"/>
  <c r="G29" i="2" s="1"/>
  <c r="G36" i="2" s="1"/>
  <c r="G40" i="2" s="1"/>
  <c r="G54" i="2" s="1"/>
  <c r="G56" i="2" s="1"/>
  <c r="G63" i="2" s="1"/>
  <c r="G68" i="2" s="1"/>
  <c r="G74" i="2" s="1"/>
  <c r="F40" i="2"/>
  <c r="F54" i="2" s="1"/>
  <c r="F56" i="2" s="1"/>
  <c r="F63" i="2" s="1"/>
  <c r="F68" i="2" s="1"/>
  <c r="F74" i="2"/>
  <c r="C29" i="2"/>
  <c r="E54" i="2"/>
  <c r="E56" i="2" s="1"/>
  <c r="C54" i="2"/>
  <c r="C56" i="2" s="1"/>
  <c r="E92" i="2"/>
  <c r="D86" i="2"/>
  <c r="D92" i="2" s="1"/>
  <c r="C86" i="2"/>
  <c r="C92" i="2" s="1"/>
  <c r="D74" i="2"/>
  <c r="D17" i="2"/>
  <c r="D20" i="2" s="1"/>
  <c r="D23" i="2" s="1"/>
  <c r="D29" i="2" s="1"/>
  <c r="D54" i="2"/>
  <c r="D56" i="2" s="1"/>
  <c r="E17" i="2"/>
  <c r="E20" i="2" s="1"/>
  <c r="E23" i="2" s="1"/>
  <c r="E29" i="2" s="1"/>
</calcChain>
</file>

<file path=xl/sharedStrings.xml><?xml version="1.0" encoding="utf-8"?>
<sst xmlns="http://schemas.openxmlformats.org/spreadsheetml/2006/main" count="135" uniqueCount="104">
  <si>
    <t>F2022A</t>
  </si>
  <si>
    <t>F2023A</t>
  </si>
  <si>
    <t>F2024A</t>
  </si>
  <si>
    <t>F2025E</t>
  </si>
  <si>
    <t>F2026E</t>
  </si>
  <si>
    <t>F2027E</t>
  </si>
  <si>
    <t>F2028E</t>
  </si>
  <si>
    <t>F2029E</t>
  </si>
  <si>
    <t>Henderson Manufacturing</t>
  </si>
  <si>
    <t>Income Statement</t>
  </si>
  <si>
    <t>($ Millions)</t>
  </si>
  <si>
    <t>Gross Revenue</t>
  </si>
  <si>
    <t>Freight &amp; Warehousing</t>
  </si>
  <si>
    <t>Net Revenue</t>
  </si>
  <si>
    <t>Cost of Sales</t>
  </si>
  <si>
    <t>SG&amp;A</t>
  </si>
  <si>
    <t>Total Costs</t>
  </si>
  <si>
    <t>Cost Adjustments - Gain/(Loss)</t>
  </si>
  <si>
    <t>EBITDA</t>
  </si>
  <si>
    <t>Depreciation</t>
  </si>
  <si>
    <t>EBIT</t>
  </si>
  <si>
    <t>Interest Expense</t>
  </si>
  <si>
    <t>EBT</t>
  </si>
  <si>
    <t>Current Taxes</t>
  </si>
  <si>
    <t>Deferred Income Taxes</t>
  </si>
  <si>
    <t>Total Income Taxes</t>
  </si>
  <si>
    <t>Net Income to Common</t>
  </si>
  <si>
    <t>Cash Flow Statement</t>
  </si>
  <si>
    <t>Operating Activities</t>
  </si>
  <si>
    <t>Net Income</t>
  </si>
  <si>
    <t>Changes in Working Capital</t>
  </si>
  <si>
    <t>Operating Cash Flow</t>
  </si>
  <si>
    <t>Investing Activities</t>
  </si>
  <si>
    <t>CAPEX</t>
  </si>
  <si>
    <t>Other</t>
  </si>
  <si>
    <t>Investing Cash Flow</t>
  </si>
  <si>
    <t>Financing Activities</t>
  </si>
  <si>
    <t>Revolver Issuance / (Repayment)</t>
  </si>
  <si>
    <t>Total Term Debt Issuance / (Repayment)</t>
  </si>
  <si>
    <t>Common Shares Issuance/ (Buy-Back)</t>
  </si>
  <si>
    <t>Common Dividends</t>
  </si>
  <si>
    <t>Financing Cash Flow</t>
  </si>
  <si>
    <t>Change in Cash Position</t>
  </si>
  <si>
    <t>Beginning Cash</t>
  </si>
  <si>
    <t>Ending Cash</t>
  </si>
  <si>
    <t>Balance Sheet</t>
  </si>
  <si>
    <t>ASSETS</t>
  </si>
  <si>
    <t>Cash and Equivalents</t>
  </si>
  <si>
    <t>Accounts Receivable</t>
  </si>
  <si>
    <t>Inventory</t>
  </si>
  <si>
    <t>Prepaid Expenses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</si>
  <si>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</si>
  <si>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</si>
  <si>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</si>
  <si>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</si>
  <si>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</si>
  <si>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</si>
  <si>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Accounts Payable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</si>
  <si>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</si>
  <si>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</si>
  <si>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</si>
  <si>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</si>
  <si>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</si>
  <si>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</si>
  <si>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</si>
  <si>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</si>
  <si>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Forecast Assumptions</t>
  </si>
  <si>
    <t>($ Millions unless noted)</t>
  </si>
  <si>
    <t>Income Statement Drivers</t>
  </si>
  <si>
    <t>Revenue Growth %</t>
  </si>
  <si>
    <t>Freight % of Gross Revenue</t>
  </si>
  <si>
    <t>Cost of Sales % of Net Revenue</t>
  </si>
  <si>
    <t>SG&amp;A % of Net Revenue</t>
  </si>
  <si>
    <t>Cost Adjustments</t>
  </si>
  <si>
    <t>Tax &amp; Depreciation</t>
  </si>
  <si>
    <t>Depreciation ($M)</t>
  </si>
  <si>
    <t>Effective Tax Rate</t>
  </si>
  <si>
    <t>Current Tax % of Total Tax</t>
  </si>
  <si>
    <t>Working Capital Drivers</t>
  </si>
  <si>
    <t>AR Days</t>
  </si>
  <si>
    <t>Inventory Days (on CoS)</t>
  </si>
  <si>
    <t>Prepaid % of Net Revenue</t>
  </si>
  <si>
    <t>Other CA % of Net Revenue</t>
  </si>
  <si>
    <t>AP Days (on CoS)</t>
  </si>
  <si>
    <t>Other CL % of Net Revenue</t>
  </si>
  <si>
    <t>Investing &amp; Financing Drivers</t>
  </si>
  <si>
    <t>CAPEX ($M)</t>
  </si>
  <si>
    <t>Other Investing CF ($M)</t>
  </si>
  <si>
    <t>Interest Rate on Avg Term Debt</t>
  </si>
  <si>
    <t>Term Debt Repayment ($M)</t>
  </si>
  <si>
    <t>Revolver Draws / (Repayment)</t>
  </si>
  <si>
    <t>Share Issuance / (Buy-Back)</t>
  </si>
  <si>
    <t>Common Dividends ($M)</t>
  </si>
  <si>
    <t>Other LTA ($M)</t>
  </si>
  <si>
    <t>Turn #</t>
  </si>
  <si>
    <t>Date</t>
  </si>
  <si>
    <t>User Request</t>
  </si>
  <si>
    <t>Action Taken</t>
  </si>
  <si>
    <t>Details</t>
  </si>
  <si>
    <t>Outcome</t>
  </si>
  <si>
    <t>Build a 5-year forecast from historic actuals in Henderson Manufacturing three-statement model.</t>
  </si>
  <si>
    <t>Created Assumptions sheet with all drivers; built IS/CFS/BS forecast formulas for F2025E-F2029E on Financials sheet.</t>
  </si>
  <si>
    <t>Assumptions: Rev growth 3%→5%, CoS margin recovery 78%→72%, SG&amp;A 1.7%, Dep ~$16M, Tax 28%, Interest 6.5% on avg debt, $25M/yr debt paydown, Divs $3-4M. WC driven by days ratios (AR 45-46, Inv 76-78, AP 41). All forecast cells use formulas linked to Assumptions sheet. BS balances all 5 years.</t>
  </si>
  <si>
    <t>Complete 3-statement model F2025E-F2029E. All BS years balance. Cash goes negative due to aggressive debt repayment from low starting cash ($0.3M). NI recovers from $10.9M to $31.8M. EBITDA recovers from $43.3M to $66.6M. Model is fully dynamic - change any blue assumption to reforecast.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</si>
</sst>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&quot;$&quot;#,##0.0"/>
    <numFmt numFmtId="166" formatCode="#,##0.0;\(#,##0.0\)"/>
    <numFmt numFmtId="167" formatCode="&quot;$&quot;#,##0.0;\(&quot;$&quot;#,##0.0\)"/>
    <numFmt numFmtId="168" formatCode="0.0%"/>
    <numFmt numFmtId="169" formatCode="#,##0.0;\(#,##0.0\);&quot;-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theme="1"/>
      <name val="Aptos Narrow"/>
    </font>
    <font>
      <sz val="11"/>
      <color theme="1"/>
      <name val="Aptos Narrow"/>
    </font>
    <font>
      <i/>
      <sz val="11"/>
      <color theme="1"/>
      <name val="Aptos Narrow"/>
    </font>
    <font>
      <b/>
      <u/>
      <sz val="12"/>
      <color theme="1"/>
      <name val="Aptos Narrow"/>
    </font>
    <font>
      <b/>
      <sz val="11"/>
      <color theme="1"/>
      <name val="Aptos Narrow"/>
    </font>
    <font>
      <sz val="11"/>
      <color rgb="FF0000FF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2" xfId="0" applyFont="1" applyBorder="1"/>
    <xf numFmtId="165" fontId="1" fillId="0" borderId="2" xfId="0" applyNumberFormat="1" applyFont="1" applyBorder="1"/>
    <xf numFmtId="0" fontId="3" fillId="0" borderId="0" xfId="0" applyFont="1" applyAlignment="1">
      <alignment horizontal="center"/>
    </xf>
    <xf numFmtId="166" fontId="0" fillId="0" borderId="0" xfId="0" applyNumberFormat="1"/>
    <xf numFmtId="166" fontId="1" fillId="0" borderId="2" xfId="0" applyNumberFormat="1" applyFont="1" applyBorder="1"/>
    <xf numFmtId="164" fontId="3" fillId="0" borderId="0" xfId="0" applyNumberFormat="1" applyFont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166" fontId="3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0" fillId="0" borderId="0" xfId="0" applyAlignment="1">
      <alignment indent="1"/>
    </xf>
    <xf numFmtId="167" fontId="1" fillId="0" borderId="1" xfId="0" applyNumberFormat="1" applyFont="1" applyBorder="1"/>
    <xf numFmtId="164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1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164" fontId="1" fillId="0" borderId="2" xfId="0" applyNumberFormat="1" applyFont="1" applyBorder="1"/>
    <xf numFmtId="0" fontId="0" fillId="0" borderId="3" xfId="0" applyBorder="1"/>
    <xf numFmtId="0" fontId="12" fillId="2" borderId="0" xfId="0" applyFont="1" applyFill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D0E1D28-FF9A-FD45-A4BA-F0034EFA2F42}">
  <we:reference id="wa200008526" version="2.0.0.0" store="en-US" storeType="OMEX"/>
  <we:alternateReferences>
    <we:reference id="wa200008526" version="2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753E69D-F0D6-47E5-A906-732F39338C00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98EDD0AD-9796-B84D-B32A-595B52C9F45F}">
  <we:reference id="bd8956c2-c5bd-41f6-974b-d99ccca36212" version="2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817A-DC42-A244-89D8-C30A434496C6}">
  <dimension ref="B2:J92"/>
  <sheetViews>
    <sheetView tabSelected="1" workbookViewId="0">
      <selection activeCell="D15" sqref="D15"/>
    </sheetView>
  </sheetViews>
  <sheetFormatPr baseColWidth="10" defaultColWidth="11.5" defaultRowHeight="15" x14ac:dyDescent="0.2"/>
  <cols>
    <col min="2" max="2" width="32.6640625" bestFit="1" customWidth="1"/>
    <col min="3" max="5" width="9.83203125" bestFit="1" customWidth="1"/>
    <col min="6" max="10" width="16.1640625" customWidth="1"/>
  </cols>
  <sheetData>
    <row r="2" spans="2:10" ht="19" x14ac:dyDescent="0.25">
      <c r="C2" s="8" t="s">
        <v>0</v>
      </c>
      <c r="D2" s="8" t="s">
        <v>1</v>
      </c>
      <c r="E2" s="8" t="s">
        <v>2</v>
      </c>
      <c r="F2" s="34" t="s">
        <v>3</v>
      </c>
      <c r="G2" s="34" t="s">
        <v>4</v>
      </c>
      <c r="H2" s="34" t="s">
        <v>5</v>
      </c>
      <c r="I2" s="34" t="s">
        <v>6</v>
      </c>
      <c r="J2" s="34" t="s">
        <v>7</v>
      </c>
    </row>
    <row r="3" spans="2:10" ht="19" x14ac:dyDescent="0.25">
      <c r="B3" s="8" t="s">
        <v>8</v>
      </c>
      <c r="C3" s="11"/>
      <c r="D3" s="11"/>
      <c r="E3" s="11"/>
    </row>
    <row r="4" spans="2:10" ht="19" x14ac:dyDescent="0.25">
      <c r="B4" s="8" t="s">
        <v>9</v>
      </c>
      <c r="C4" s="11"/>
      <c r="D4" s="11"/>
      <c r="E4" s="11"/>
    </row>
    <row r="5" spans="2:10" x14ac:dyDescent="0.2">
      <c r="C5" s="5"/>
      <c r="D5" s="5"/>
      <c r="E5" s="5"/>
    </row>
    <row r="6" spans="2:10" x14ac:dyDescent="0.2">
      <c r="B6" s="12" t="s">
        <v>10</v>
      </c>
      <c r="C6" s="13"/>
      <c r="D6" s="13"/>
      <c r="E6" s="13"/>
      <c r="F6" s="39"/>
      <c r="G6" s="39"/>
      <c r="H6" s="39"/>
      <c r="I6" s="39"/>
      <c r="J6" s="39"/>
    </row>
    <row r="7" spans="2:10" x14ac:dyDescent="0.2">
      <c r="C7" s="5"/>
      <c r="D7" s="5"/>
      <c r="E7" s="5"/>
    </row>
    <row r="8" spans="2:10" x14ac:dyDescent="0.2">
      <c r="B8" t="s">
        <v>11</v>
      </c>
      <c r="C8" s="19">
        <v>244.8</v>
      </c>
      <c r="D8" s="19">
        <v>269.3</v>
      </c>
      <c r="E8" s="19">
        <v>239.2</v>
      </c>
      <c r="F8" s="22">
        <f>E8*(1+Assumptions!H8)</f>
        <v>246.376</v>
      </c>
      <c r="G8">
        <f>F8*(1+Assumptions!I8)</f>
        <v>254.99915999999999</v>
      </c>
      <c r="H8">
        <f>G8*(1+Assumptions!J8)</f>
        <v>265.19912640000001</v>
      </c>
      <c r="I8">
        <f>H8*(1+Assumptions!K8)</f>
        <v>277.13308708799997</v>
      </c>
      <c r="J8">
        <f>I8*(1+Assumptions!L8)</f>
        <v>290.98974144239997</v>
      </c>
    </row>
    <row r="9" spans="2:10" x14ac:dyDescent="0.2">
      <c r="B9" t="s">
        <v>12</v>
      </c>
      <c r="C9" s="19">
        <v>31.3</v>
      </c>
      <c r="D9" s="19">
        <v>32.700000000000003</v>
      </c>
      <c r="E9" s="19">
        <v>34.4</v>
      </c>
      <c r="F9" s="22">
        <f>F8*Assumptions!H9</f>
        <v>33.260760000000005</v>
      </c>
      <c r="G9">
        <f>G8*Assumptions!I9</f>
        <v>33.91488828</v>
      </c>
      <c r="H9">
        <f>H8*Assumptions!J9</f>
        <v>34.475886432000003</v>
      </c>
      <c r="I9">
        <f>I8*Assumptions!K9</f>
        <v>36.02730132144</v>
      </c>
      <c r="J9">
        <f>J8*Assumptions!L9</f>
        <v>37.828666387512001</v>
      </c>
    </row>
    <row r="10" spans="2:10" x14ac:dyDescent="0.2">
      <c r="B10" s="2" t="s">
        <v>13</v>
      </c>
      <c r="C10" s="4">
        <f t="shared" ref="C10:E10" si="0">C8-C9</f>
        <v>213.5</v>
      </c>
      <c r="D10" s="4">
        <f t="shared" si="0"/>
        <v>236.60000000000002</v>
      </c>
      <c r="E10" s="4">
        <f t="shared" si="0"/>
        <v>204.79999999999998</v>
      </c>
      <c r="F10" s="36">
        <f>F8-F9</f>
        <v>213.11524</v>
      </c>
      <c r="G10" s="2">
        <f>G8-G9</f>
        <v>221.08427172</v>
      </c>
      <c r="H10" s="2">
        <f>H8-H9</f>
        <v>230.723239968</v>
      </c>
      <c r="I10" s="2">
        <f>I8-I9</f>
        <v>241.10578576655996</v>
      </c>
      <c r="J10" s="2">
        <f>J8-J9</f>
        <v>253.16107505488799</v>
      </c>
    </row>
    <row r="11" spans="2:10" x14ac:dyDescent="0.2">
      <c r="C11" s="5"/>
      <c r="D11" s="5"/>
      <c r="E11" s="5"/>
    </row>
    <row r="12" spans="2:10" x14ac:dyDescent="0.2">
      <c r="B12" t="s">
        <v>14</v>
      </c>
      <c r="C12" s="19">
        <v>159.9</v>
      </c>
      <c r="D12" s="19">
        <v>164.6</v>
      </c>
      <c r="E12" s="19">
        <v>167.9</v>
      </c>
      <c r="F12" s="22">
        <f>F10*Assumptions!H10</f>
        <v>166.22988720000001</v>
      </c>
      <c r="G12">
        <f>G10*Assumptions!I10</f>
        <v>168.02404650720001</v>
      </c>
      <c r="H12">
        <f>H10*Assumptions!J10</f>
        <v>170.73519757631999</v>
      </c>
      <c r="I12">
        <f>I10*Assumptions!K10</f>
        <v>176.00722360958878</v>
      </c>
      <c r="J12">
        <f>J10*Assumptions!L10</f>
        <v>182.27597403951935</v>
      </c>
    </row>
    <row r="13" spans="2:10" x14ac:dyDescent="0.2">
      <c r="B13" t="s">
        <v>15</v>
      </c>
      <c r="C13" s="19">
        <v>3.4</v>
      </c>
      <c r="D13" s="19">
        <v>3.6</v>
      </c>
      <c r="E13" s="19">
        <v>3.8</v>
      </c>
      <c r="F13" s="22">
        <f>F10*Assumptions!H11</f>
        <v>3.6229590800000002</v>
      </c>
      <c r="G13">
        <f>G10*Assumptions!I11</f>
        <v>3.7584326192400002</v>
      </c>
      <c r="H13">
        <f>H10*Assumptions!J11</f>
        <v>3.9222950794560001</v>
      </c>
      <c r="I13">
        <f>I10*Assumptions!K11</f>
        <v>4.0987983580315195</v>
      </c>
      <c r="J13">
        <f>J10*Assumptions!L11</f>
        <v>4.303738275933096</v>
      </c>
    </row>
    <row r="14" spans="2:10" x14ac:dyDescent="0.2">
      <c r="B14" s="2" t="s">
        <v>16</v>
      </c>
      <c r="C14" s="4">
        <f t="shared" ref="C14:E14" si="1">C12+C13</f>
        <v>163.30000000000001</v>
      </c>
      <c r="D14" s="4">
        <f t="shared" si="1"/>
        <v>168.2</v>
      </c>
      <c r="E14" s="4">
        <f t="shared" si="1"/>
        <v>171.70000000000002</v>
      </c>
      <c r="F14" s="36">
        <f>F12+F13</f>
        <v>169.85284627999999</v>
      </c>
      <c r="G14" s="2">
        <f>G12+G13</f>
        <v>171.78247912644002</v>
      </c>
      <c r="H14" s="2">
        <f>H12+H13</f>
        <v>174.657492655776</v>
      </c>
      <c r="I14" s="2">
        <f>I12+I13</f>
        <v>180.10602196762031</v>
      </c>
      <c r="J14" s="2">
        <f>J12+J13</f>
        <v>186.57971231545244</v>
      </c>
    </row>
    <row r="15" spans="2:10" x14ac:dyDescent="0.2">
      <c r="C15" s="5"/>
      <c r="D15" s="5"/>
      <c r="E15" s="5"/>
    </row>
    <row r="16" spans="2:10" x14ac:dyDescent="0.2">
      <c r="B16" t="s">
        <v>17</v>
      </c>
      <c r="C16" s="19">
        <v>0</v>
      </c>
      <c r="D16" s="19">
        <v>0</v>
      </c>
      <c r="E16" s="19">
        <v>0</v>
      </c>
      <c r="F16" s="22">
        <f>Assumptions!H12</f>
        <v>0</v>
      </c>
      <c r="G16">
        <f>Assumptions!I12</f>
        <v>0</v>
      </c>
      <c r="H16">
        <f>Assumptions!J12</f>
        <v>0</v>
      </c>
      <c r="I16">
        <f>Assumptions!K12</f>
        <v>0</v>
      </c>
      <c r="J16">
        <f>Assumptions!L12</f>
        <v>0</v>
      </c>
    </row>
    <row r="17" spans="2:10" x14ac:dyDescent="0.2">
      <c r="B17" s="2" t="s">
        <v>18</v>
      </c>
      <c r="C17" s="4">
        <f t="shared" ref="C17:E17" si="2">C10-C14+C16</f>
        <v>50.199999999999989</v>
      </c>
      <c r="D17" s="4">
        <f t="shared" si="2"/>
        <v>68.400000000000034</v>
      </c>
      <c r="E17" s="4">
        <f t="shared" si="2"/>
        <v>33.099999999999966</v>
      </c>
      <c r="F17" s="36">
        <f>F10-F14+F16</f>
        <v>43.262393720000006</v>
      </c>
      <c r="G17" s="2">
        <f>G10-G14+G16</f>
        <v>49.301792593559981</v>
      </c>
      <c r="H17" s="2">
        <f>H10-H14+H16</f>
        <v>56.065747312224005</v>
      </c>
      <c r="I17" s="2">
        <f>I10-I14+I16</f>
        <v>60.999763798939654</v>
      </c>
      <c r="J17" s="2">
        <f>J10-J14+J16</f>
        <v>66.581362739435548</v>
      </c>
    </row>
    <row r="18" spans="2:10" x14ac:dyDescent="0.2">
      <c r="C18" s="5"/>
      <c r="D18" s="5"/>
      <c r="E18" s="5"/>
    </row>
    <row r="19" spans="2:10" x14ac:dyDescent="0.2">
      <c r="B19" t="s">
        <v>19</v>
      </c>
      <c r="C19" s="19">
        <v>15.4</v>
      </c>
      <c r="D19" s="19">
        <v>15.5</v>
      </c>
      <c r="E19" s="19">
        <v>15.8</v>
      </c>
      <c r="F19" s="22">
        <f>Assumptions!H15</f>
        <v>16</v>
      </c>
      <c r="G19">
        <f>Assumptions!I15</f>
        <v>16.2</v>
      </c>
      <c r="H19">
        <f>Assumptions!J15</f>
        <v>16.399999999999999</v>
      </c>
      <c r="I19">
        <f>Assumptions!K15</f>
        <v>16.5</v>
      </c>
      <c r="J19">
        <f>Assumptions!L15</f>
        <v>16.7</v>
      </c>
    </row>
    <row r="20" spans="2:10" x14ac:dyDescent="0.2">
      <c r="B20" s="2" t="s">
        <v>20</v>
      </c>
      <c r="C20" s="4">
        <f t="shared" ref="C20:E20" si="3">C17-C19</f>
        <v>34.79999999999999</v>
      </c>
      <c r="D20" s="4">
        <f t="shared" si="3"/>
        <v>52.900000000000034</v>
      </c>
      <c r="E20" s="4">
        <f t="shared" si="3"/>
        <v>17.299999999999965</v>
      </c>
      <c r="F20" s="36">
        <f>F17-F19</f>
        <v>27.262393720000006</v>
      </c>
      <c r="G20" s="2">
        <f>G17-G19</f>
        <v>33.101792593559978</v>
      </c>
      <c r="H20" s="2">
        <f>H17-H19</f>
        <v>39.665747312224006</v>
      </c>
      <c r="I20" s="2">
        <f>I17-I19</f>
        <v>44.499763798939654</v>
      </c>
      <c r="J20" s="2">
        <f>J17-J19</f>
        <v>49.881362739435545</v>
      </c>
    </row>
    <row r="21" spans="2:10" x14ac:dyDescent="0.2">
      <c r="C21" s="5"/>
      <c r="D21" s="5"/>
      <c r="E21" s="5"/>
    </row>
    <row r="22" spans="2:10" x14ac:dyDescent="0.2">
      <c r="B22" t="s">
        <v>21</v>
      </c>
      <c r="C22" s="19">
        <v>15</v>
      </c>
      <c r="D22" s="19">
        <v>15</v>
      </c>
      <c r="E22" s="19">
        <v>14</v>
      </c>
      <c r="F22" s="22">
        <f>Assumptions!H30*(E83+F83)/2</f>
        <v>12.1875</v>
      </c>
      <c r="G22">
        <f>Assumptions!I30*(F83+G83)/2</f>
        <v>10.5625</v>
      </c>
      <c r="H22">
        <f>Assumptions!J30*(G83+H83)/2</f>
        <v>8.9375</v>
      </c>
      <c r="I22">
        <f>Assumptions!K30*(H83+I83)/2</f>
        <v>7.3125</v>
      </c>
      <c r="J22">
        <f>Assumptions!L30*(I83+J83)/2</f>
        <v>5.6875</v>
      </c>
    </row>
    <row r="23" spans="2:10" x14ac:dyDescent="0.2">
      <c r="B23" s="2" t="s">
        <v>22</v>
      </c>
      <c r="C23" s="4">
        <f t="shared" ref="C23:E23" si="4">C20-C22</f>
        <v>19.79999999999999</v>
      </c>
      <c r="D23" s="4">
        <f t="shared" si="4"/>
        <v>37.900000000000034</v>
      </c>
      <c r="E23" s="4">
        <f t="shared" si="4"/>
        <v>3.2999999999999652</v>
      </c>
      <c r="F23" s="36">
        <f>F20-F22</f>
        <v>15.074893720000006</v>
      </c>
      <c r="G23" s="2">
        <f>G20-G22</f>
        <v>22.539292593559978</v>
      </c>
      <c r="H23" s="2">
        <f>H20-H22</f>
        <v>30.728247312224006</v>
      </c>
      <c r="I23" s="2">
        <f>I20-I22</f>
        <v>37.187263798939654</v>
      </c>
      <c r="J23" s="2">
        <f>J20-J22</f>
        <v>44.193862739435545</v>
      </c>
    </row>
    <row r="24" spans="2:10" x14ac:dyDescent="0.2">
      <c r="C24" s="5"/>
      <c r="D24" s="5"/>
      <c r="E24" s="5"/>
    </row>
    <row r="25" spans="2:10" x14ac:dyDescent="0.2">
      <c r="B25" t="s">
        <v>23</v>
      </c>
      <c r="C25" s="19">
        <v>3</v>
      </c>
      <c r="D25" s="19">
        <v>8</v>
      </c>
      <c r="E25" s="19">
        <v>0</v>
      </c>
      <c r="F25" s="22">
        <f>IF(F23&gt;0,F23*Assumptions!H16*Assumptions!H17,0)</f>
        <v>2.532582144960001</v>
      </c>
      <c r="G25">
        <f>IF(G23&gt;0,G23*Assumptions!I16*Assumptions!I17,0)</f>
        <v>3.7866011557180763</v>
      </c>
      <c r="H25">
        <f>IF(H23&gt;0,H23*Assumptions!J16*Assumptions!J17,0)</f>
        <v>5.1623455484536329</v>
      </c>
      <c r="I25">
        <f>IF(I23&gt;0,I23*Assumptions!K16*Assumptions!K17,0)</f>
        <v>6.2474603182218624</v>
      </c>
      <c r="J25">
        <f>IF(J23&gt;0,J23*Assumptions!L16*Assumptions!L17,0)</f>
        <v>7.4245689402251722</v>
      </c>
    </row>
    <row r="26" spans="2:10" x14ac:dyDescent="0.2">
      <c r="B26" t="s">
        <v>24</v>
      </c>
      <c r="C26" s="19">
        <v>2.7</v>
      </c>
      <c r="D26" s="19">
        <v>6.2</v>
      </c>
      <c r="E26" s="19">
        <v>1.1000000000000001</v>
      </c>
      <c r="F26" s="22">
        <f>IF(F23&gt;0,F23*Assumptions!H16*(1-Assumptions!H17),0)</f>
        <v>1.6883880966400007</v>
      </c>
      <c r="G26">
        <f>IF(G23&gt;0,G23*Assumptions!I16*(1-Assumptions!I17),0)</f>
        <v>2.5244007704787177</v>
      </c>
      <c r="H26">
        <f>IF(H23&gt;0,H23*Assumptions!J16*(1-Assumptions!J17),0)</f>
        <v>3.4415636989690892</v>
      </c>
      <c r="I26">
        <f>IF(I23&gt;0,I23*Assumptions!K16*(1-Assumptions!K17),0)</f>
        <v>4.1649735454812413</v>
      </c>
      <c r="J26">
        <f>IF(J23&gt;0,J23*Assumptions!L16*(1-Assumptions!L17),0)</f>
        <v>4.9497126268167824</v>
      </c>
    </row>
    <row r="27" spans="2:10" x14ac:dyDescent="0.2">
      <c r="B27" s="2" t="s">
        <v>25</v>
      </c>
      <c r="C27" s="4">
        <f t="shared" ref="C27:J27" si="5">C25+C26</f>
        <v>5.7</v>
      </c>
      <c r="D27" s="4">
        <f t="shared" si="5"/>
        <v>14.2</v>
      </c>
      <c r="E27" s="4">
        <f t="shared" si="5"/>
        <v>1.1000000000000001</v>
      </c>
      <c r="F27" s="36">
        <f t="shared" si="5"/>
        <v>4.2209702416000017</v>
      </c>
      <c r="G27" s="2">
        <f t="shared" si="5"/>
        <v>6.311001926196794</v>
      </c>
      <c r="H27" s="2">
        <f t="shared" si="5"/>
        <v>8.6039092474227221</v>
      </c>
      <c r="I27" s="2">
        <f t="shared" si="5"/>
        <v>10.412433863703104</v>
      </c>
      <c r="J27" s="2">
        <f t="shared" si="5"/>
        <v>12.374281567041955</v>
      </c>
    </row>
    <row r="28" spans="2:10" x14ac:dyDescent="0.2">
      <c r="C28" s="5"/>
      <c r="D28" s="5"/>
      <c r="E28" s="5"/>
    </row>
    <row r="29" spans="2:10" x14ac:dyDescent="0.2">
      <c r="B29" s="6" t="s">
        <v>26</v>
      </c>
      <c r="C29" s="7">
        <f t="shared" ref="C29:E29" si="6">C23-C27</f>
        <v>14.099999999999991</v>
      </c>
      <c r="D29" s="7">
        <f t="shared" si="6"/>
        <v>23.700000000000035</v>
      </c>
      <c r="E29" s="7">
        <f t="shared" si="6"/>
        <v>2.1999999999999651</v>
      </c>
      <c r="F29" s="37">
        <f>F23-F27</f>
        <v>10.853923478400004</v>
      </c>
      <c r="G29" s="6">
        <f>G23-G27</f>
        <v>16.228290667363183</v>
      </c>
      <c r="H29" s="6">
        <f>H23-H27</f>
        <v>22.124338064801286</v>
      </c>
      <c r="I29" s="6">
        <f>I23-I27</f>
        <v>26.77482993523655</v>
      </c>
      <c r="J29" s="6">
        <f>J23-J27</f>
        <v>31.81958117239359</v>
      </c>
    </row>
    <row r="32" spans="2:10" ht="19" x14ac:dyDescent="0.25">
      <c r="C32" s="8" t="s">
        <v>0</v>
      </c>
      <c r="D32" s="8" t="s">
        <v>1</v>
      </c>
      <c r="E32" s="8" t="s">
        <v>2</v>
      </c>
      <c r="F32" s="34" t="s">
        <v>3</v>
      </c>
      <c r="G32" s="34" t="s">
        <v>4</v>
      </c>
      <c r="H32" s="34" t="s">
        <v>5</v>
      </c>
      <c r="I32" s="34" t="s">
        <v>6</v>
      </c>
      <c r="J32" s="34" t="s">
        <v>7</v>
      </c>
    </row>
    <row r="33" spans="2:10" ht="19" x14ac:dyDescent="0.25">
      <c r="B33" s="8" t="s">
        <v>27</v>
      </c>
      <c r="C33" s="14"/>
      <c r="D33" s="14"/>
      <c r="E33" s="14"/>
    </row>
    <row r="34" spans="2:10" x14ac:dyDescent="0.2">
      <c r="C34" s="9"/>
      <c r="D34" s="9"/>
      <c r="E34" s="9"/>
    </row>
    <row r="35" spans="2:10" x14ac:dyDescent="0.2">
      <c r="B35" s="15" t="s">
        <v>28</v>
      </c>
      <c r="C35" s="16"/>
      <c r="D35" s="16"/>
      <c r="E35" s="16"/>
    </row>
    <row r="36" spans="2:10" x14ac:dyDescent="0.2">
      <c r="B36" s="17" t="s">
        <v>29</v>
      </c>
      <c r="C36" s="20">
        <v>14.1</v>
      </c>
      <c r="D36" s="20">
        <v>23.7</v>
      </c>
      <c r="E36" s="20">
        <v>2.2000000000000002</v>
      </c>
      <c r="F36">
        <f>F29</f>
        <v>10.853923478400004</v>
      </c>
      <c r="G36">
        <f>G29</f>
        <v>16.228290667363183</v>
      </c>
      <c r="H36">
        <f>H29</f>
        <v>22.124338064801286</v>
      </c>
      <c r="I36">
        <f>I29</f>
        <v>26.77482993523655</v>
      </c>
      <c r="J36">
        <f>J29</f>
        <v>31.81958117239359</v>
      </c>
    </row>
    <row r="37" spans="2:10" x14ac:dyDescent="0.2">
      <c r="B37" s="17" t="s">
        <v>19</v>
      </c>
      <c r="C37" s="20">
        <v>15.4</v>
      </c>
      <c r="D37" s="20">
        <v>15.5</v>
      </c>
      <c r="E37" s="20">
        <v>15.8</v>
      </c>
      <c r="F37">
        <f>F19</f>
        <v>16</v>
      </c>
      <c r="G37">
        <f>G19</f>
        <v>16.2</v>
      </c>
      <c r="H37">
        <f>H19</f>
        <v>16.399999999999999</v>
      </c>
      <c r="I37">
        <f>I19</f>
        <v>16.5</v>
      </c>
      <c r="J37">
        <f>J19</f>
        <v>16.7</v>
      </c>
    </row>
    <row r="38" spans="2:10" x14ac:dyDescent="0.2">
      <c r="B38" s="17" t="s">
        <v>24</v>
      </c>
      <c r="C38" s="20">
        <v>2.7</v>
      </c>
      <c r="D38" s="20">
        <v>6.2</v>
      </c>
      <c r="E38" s="20">
        <v>1.1000000000000001</v>
      </c>
      <c r="F38">
        <f>F26</f>
        <v>1.6883880966400007</v>
      </c>
      <c r="G38">
        <f>G26</f>
        <v>2.5244007704787177</v>
      </c>
      <c r="H38">
        <f>H26</f>
        <v>3.4415636989690892</v>
      </c>
      <c r="I38">
        <f>I26</f>
        <v>4.1649735454812413</v>
      </c>
      <c r="J38">
        <f>J26</f>
        <v>4.9497126268167824</v>
      </c>
    </row>
    <row r="39" spans="2:10" x14ac:dyDescent="0.2">
      <c r="B39" s="17" t="s">
        <v>30</v>
      </c>
      <c r="C39" s="20">
        <v>0</v>
      </c>
      <c r="D39" s="20">
        <v>0</v>
      </c>
      <c r="E39" s="20">
        <v>0</v>
      </c>
      <c r="F39" s="5">
        <f>-((F64-E64)+(F65-E65)+(F66-E66)+(F67-E67)-(F78-E78)-(F79-E79))</f>
        <v>1.2827171320547905</v>
      </c>
      <c r="G39">
        <f>-((G64-F64)+(G65-F65)+(G66-F66)+(G67-F67)-(G78-F78)-(G79-F79))</f>
        <v>-1.6165177224317788</v>
      </c>
      <c r="H39">
        <f>-((H64-G64)+(H65-G65)+(H66-G66)+(H67-G67)-(H78-G78)-(H79-G79))</f>
        <v>-0.44245358359692544</v>
      </c>
      <c r="I39">
        <f>-((I64-H64)+(I65-H65)+(I66-H66)+(I67-H67)-(I78-H78)-(I79-H79))</f>
        <v>-2.346234109011569</v>
      </c>
      <c r="J39">
        <f>-((J64-I64)+(J65-I65)+(J66-I66)+(J67-I67)-(J78-I78)-(J79-I79))</f>
        <v>-2.7383672188911685</v>
      </c>
    </row>
    <row r="40" spans="2:10" x14ac:dyDescent="0.2">
      <c r="B40" s="2" t="s">
        <v>31</v>
      </c>
      <c r="C40" s="18">
        <f t="shared" ref="C40:J40" si="7">C36+C37+C38+C39</f>
        <v>32.200000000000003</v>
      </c>
      <c r="D40" s="18">
        <f t="shared" si="7"/>
        <v>45.400000000000006</v>
      </c>
      <c r="E40" s="18">
        <f t="shared" si="7"/>
        <v>19.100000000000001</v>
      </c>
      <c r="F40" s="4">
        <f t="shared" si="7"/>
        <v>29.825028707094798</v>
      </c>
      <c r="G40" s="2">
        <f t="shared" si="7"/>
        <v>33.336173715410126</v>
      </c>
      <c r="H40" s="2">
        <f t="shared" si="7"/>
        <v>41.523448180173453</v>
      </c>
      <c r="I40" s="2">
        <f t="shared" si="7"/>
        <v>45.093569371706224</v>
      </c>
      <c r="J40" s="2">
        <f t="shared" si="7"/>
        <v>50.730926580319199</v>
      </c>
    </row>
    <row r="41" spans="2:10" x14ac:dyDescent="0.2">
      <c r="C41" s="9"/>
      <c r="D41" s="9"/>
      <c r="E41" s="9"/>
    </row>
    <row r="42" spans="2:10" x14ac:dyDescent="0.2">
      <c r="B42" s="15" t="s">
        <v>32</v>
      </c>
      <c r="C42" s="16"/>
      <c r="D42" s="16"/>
      <c r="E42" s="16"/>
    </row>
    <row r="43" spans="2:10" x14ac:dyDescent="0.2">
      <c r="B43" s="17" t="s">
        <v>33</v>
      </c>
      <c r="C43" s="20">
        <v>-14.1</v>
      </c>
      <c r="D43" s="20">
        <v>-15</v>
      </c>
      <c r="E43" s="20">
        <v>-15.5</v>
      </c>
      <c r="F43">
        <f>-Assumptions!H28</f>
        <v>-16</v>
      </c>
      <c r="G43">
        <f>-Assumptions!I28</f>
        <v>-16.2</v>
      </c>
      <c r="H43">
        <f>-Assumptions!J28</f>
        <v>-16.5</v>
      </c>
      <c r="I43">
        <f>-Assumptions!K28</f>
        <v>-16.5</v>
      </c>
      <c r="J43">
        <f>-Assumptions!L28</f>
        <v>-17</v>
      </c>
    </row>
    <row r="44" spans="2:10" x14ac:dyDescent="0.2">
      <c r="B44" s="17" t="s">
        <v>34</v>
      </c>
      <c r="C44" s="20">
        <v>-5</v>
      </c>
      <c r="D44" s="20">
        <v>4</v>
      </c>
      <c r="E44" s="20">
        <v>3</v>
      </c>
      <c r="F44" s="1">
        <f>Assumptions!H29</f>
        <v>3</v>
      </c>
      <c r="G44">
        <f>Assumptions!I29</f>
        <v>3</v>
      </c>
      <c r="H44">
        <f>Assumptions!J29</f>
        <v>0</v>
      </c>
      <c r="I44">
        <f>Assumptions!K29</f>
        <v>0</v>
      </c>
      <c r="J44">
        <f>Assumptions!L29</f>
        <v>0</v>
      </c>
    </row>
    <row r="45" spans="2:10" x14ac:dyDescent="0.2">
      <c r="B45" s="2" t="s">
        <v>35</v>
      </c>
      <c r="C45" s="18">
        <f t="shared" ref="C45:E45" si="8">C43+C44</f>
        <v>-19.100000000000001</v>
      </c>
      <c r="D45" s="18">
        <f t="shared" si="8"/>
        <v>-11</v>
      </c>
      <c r="E45" s="18">
        <f t="shared" si="8"/>
        <v>-12.5</v>
      </c>
      <c r="F45" s="2">
        <f>F43+F44</f>
        <v>-13</v>
      </c>
      <c r="G45" s="2">
        <f>G43+G44</f>
        <v>-13.2</v>
      </c>
      <c r="H45" s="2">
        <f>H43+H44</f>
        <v>-16.5</v>
      </c>
      <c r="I45" s="2">
        <f>I43+I44</f>
        <v>-16.5</v>
      </c>
      <c r="J45" s="2">
        <f>J43+J44</f>
        <v>-17</v>
      </c>
    </row>
    <row r="46" spans="2:10" x14ac:dyDescent="0.2">
      <c r="C46" s="9"/>
      <c r="D46" s="9"/>
      <c r="E46" s="9"/>
    </row>
    <row r="47" spans="2:10" x14ac:dyDescent="0.2">
      <c r="B47" s="15" t="s">
        <v>36</v>
      </c>
      <c r="C47" s="16"/>
      <c r="D47" s="16"/>
      <c r="E47" s="16"/>
    </row>
    <row r="48" spans="2:10" x14ac:dyDescent="0.2">
      <c r="B48" s="17" t="s">
        <v>37</v>
      </c>
      <c r="C48" s="20">
        <v>0</v>
      </c>
      <c r="D48" s="20">
        <v>0</v>
      </c>
      <c r="E48" s="20">
        <v>0</v>
      </c>
      <c r="F48">
        <f>Assumptions!H32</f>
        <v>0</v>
      </c>
      <c r="G48">
        <f>Assumptions!I32</f>
        <v>0</v>
      </c>
      <c r="H48">
        <f>Assumptions!J32</f>
        <v>0</v>
      </c>
      <c r="I48">
        <f>Assumptions!K32</f>
        <v>0</v>
      </c>
      <c r="J48">
        <f>Assumptions!L32</f>
        <v>0</v>
      </c>
    </row>
    <row r="49" spans="2:10" x14ac:dyDescent="0.2">
      <c r="B49" s="17" t="s">
        <v>38</v>
      </c>
      <c r="C49" s="20">
        <v>-25</v>
      </c>
      <c r="D49" s="20">
        <v>-25</v>
      </c>
      <c r="E49" s="20">
        <v>-25</v>
      </c>
      <c r="F49">
        <f>-Assumptions!H31</f>
        <v>-25</v>
      </c>
      <c r="G49">
        <f>-Assumptions!I31</f>
        <v>-25</v>
      </c>
      <c r="H49">
        <f>-Assumptions!J31</f>
        <v>-25</v>
      </c>
      <c r="I49">
        <f>-Assumptions!K31</f>
        <v>-25</v>
      </c>
      <c r="J49">
        <f>-Assumptions!L31</f>
        <v>-25</v>
      </c>
    </row>
    <row r="50" spans="2:10" x14ac:dyDescent="0.2">
      <c r="B50" s="17" t="s">
        <v>39</v>
      </c>
      <c r="C50" s="20">
        <v>0</v>
      </c>
      <c r="D50" s="20">
        <v>0</v>
      </c>
      <c r="E50" s="20">
        <v>0</v>
      </c>
      <c r="F50" s="1">
        <f>Assumptions!H33</f>
        <v>0</v>
      </c>
      <c r="G50">
        <f>Assumptions!I33</f>
        <v>0</v>
      </c>
      <c r="H50">
        <f>Assumptions!J33</f>
        <v>0</v>
      </c>
      <c r="I50">
        <f>Assumptions!K33</f>
        <v>0</v>
      </c>
      <c r="J50">
        <f>Assumptions!L33</f>
        <v>0</v>
      </c>
    </row>
    <row r="51" spans="2:10" x14ac:dyDescent="0.2">
      <c r="B51" s="17" t="s">
        <v>40</v>
      </c>
      <c r="C51" s="20">
        <v>-2.8</v>
      </c>
      <c r="D51" s="20">
        <v>-4.7</v>
      </c>
      <c r="E51" s="20">
        <v>-2.4</v>
      </c>
      <c r="F51" s="1">
        <f>-Assumptions!H34</f>
        <v>-3</v>
      </c>
      <c r="G51">
        <f>-Assumptions!I34</f>
        <v>-3</v>
      </c>
      <c r="H51">
        <f>-Assumptions!J34</f>
        <v>-3.5</v>
      </c>
      <c r="I51">
        <f>-Assumptions!K34</f>
        <v>-3.5</v>
      </c>
      <c r="J51">
        <f>-Assumptions!L34</f>
        <v>-4</v>
      </c>
    </row>
    <row r="52" spans="2:10" x14ac:dyDescent="0.2">
      <c r="B52" s="2" t="s">
        <v>41</v>
      </c>
      <c r="C52" s="18">
        <f t="shared" ref="C52:J52" si="9">C48+C49+C50+C51</f>
        <v>-27.8</v>
      </c>
      <c r="D52" s="18">
        <f t="shared" si="9"/>
        <v>-29.7</v>
      </c>
      <c r="E52" s="18">
        <f t="shared" si="9"/>
        <v>-27.4</v>
      </c>
      <c r="F52" s="4">
        <f t="shared" si="9"/>
        <v>-28</v>
      </c>
      <c r="G52" s="2">
        <f t="shared" si="9"/>
        <v>-28</v>
      </c>
      <c r="H52" s="2">
        <f t="shared" si="9"/>
        <v>-28.5</v>
      </c>
      <c r="I52" s="2">
        <f t="shared" si="9"/>
        <v>-28.5</v>
      </c>
      <c r="J52" s="2">
        <f t="shared" si="9"/>
        <v>-29</v>
      </c>
    </row>
    <row r="53" spans="2:10" x14ac:dyDescent="0.2">
      <c r="C53" s="9"/>
      <c r="D53" s="9"/>
      <c r="E53" s="9"/>
      <c r="F53" s="35"/>
    </row>
    <row r="54" spans="2:10" x14ac:dyDescent="0.2">
      <c r="B54" t="s">
        <v>42</v>
      </c>
      <c r="C54" s="9">
        <f t="shared" ref="C54:E54" si="10">C40+C45+C52</f>
        <v>-14.7</v>
      </c>
      <c r="D54" s="9">
        <f t="shared" si="10"/>
        <v>4.7000000000000064</v>
      </c>
      <c r="E54" s="9">
        <f t="shared" si="10"/>
        <v>-20.799999999999997</v>
      </c>
      <c r="F54" s="35">
        <f>F40+F45+F52</f>
        <v>-11.174971292905202</v>
      </c>
      <c r="G54" s="1">
        <f>G40+G45+G52</f>
        <v>-7.863826284589873</v>
      </c>
      <c r="H54" s="1">
        <f>H40+H45+H52</f>
        <v>-3.4765518198265468</v>
      </c>
      <c r="I54" s="1">
        <f>I40+I45+I52</f>
        <v>9.3569371706223592E-2</v>
      </c>
      <c r="J54" s="1">
        <f>J40+J45+J52</f>
        <v>4.7309265803191991</v>
      </c>
    </row>
    <row r="55" spans="2:10" x14ac:dyDescent="0.2">
      <c r="B55" t="s">
        <v>43</v>
      </c>
      <c r="C55" s="20">
        <v>31.1</v>
      </c>
      <c r="D55" s="20">
        <v>16.399999999999999</v>
      </c>
      <c r="E55" s="20">
        <v>21.1</v>
      </c>
      <c r="F55" s="35">
        <f>E56</f>
        <v>0.30000000000000426</v>
      </c>
      <c r="G55" s="5">
        <f>F56</f>
        <v>-10.874971292905197</v>
      </c>
      <c r="H55" s="5">
        <f>G56</f>
        <v>-18.73879757749507</v>
      </c>
      <c r="I55" s="5">
        <f>H56</f>
        <v>-22.215349397321617</v>
      </c>
      <c r="J55" s="5">
        <f>I56</f>
        <v>-22.121780025615394</v>
      </c>
    </row>
    <row r="56" spans="2:10" x14ac:dyDescent="0.2">
      <c r="B56" s="6" t="s">
        <v>44</v>
      </c>
      <c r="C56" s="10">
        <f t="shared" ref="C56:E56" si="11">C55+C54</f>
        <v>16.400000000000002</v>
      </c>
      <c r="D56" s="10">
        <f t="shared" si="11"/>
        <v>21.100000000000005</v>
      </c>
      <c r="E56" s="10">
        <f t="shared" si="11"/>
        <v>0.30000000000000426</v>
      </c>
      <c r="F56" s="38">
        <f>F55+F54</f>
        <v>-10.874971292905197</v>
      </c>
      <c r="G56" s="38">
        <f>G55+G54</f>
        <v>-18.73879757749507</v>
      </c>
      <c r="H56" s="38">
        <f>H55+H54</f>
        <v>-22.215349397321617</v>
      </c>
      <c r="I56" s="38">
        <f>I55+I54</f>
        <v>-22.121780025615394</v>
      </c>
      <c r="J56" s="38">
        <f>J55+J54</f>
        <v>-17.390853445296194</v>
      </c>
    </row>
    <row r="59" spans="2:10" ht="19" x14ac:dyDescent="0.25">
      <c r="C59" s="8" t="s">
        <v>0</v>
      </c>
      <c r="D59" s="8" t="s">
        <v>1</v>
      </c>
      <c r="E59" s="8" t="s">
        <v>2</v>
      </c>
      <c r="F59" s="34" t="s">
        <v>3</v>
      </c>
      <c r="G59" s="34" t="s">
        <v>4</v>
      </c>
      <c r="H59" s="34" t="s">
        <v>5</v>
      </c>
      <c r="I59" s="34" t="s">
        <v>6</v>
      </c>
      <c r="J59" s="34" t="s">
        <v>7</v>
      </c>
    </row>
    <row r="60" spans="2:10" ht="19" x14ac:dyDescent="0.25">
      <c r="B60" s="8" t="s">
        <v>45</v>
      </c>
      <c r="C60" s="11"/>
      <c r="D60" s="11"/>
      <c r="E60" s="11"/>
    </row>
    <row r="61" spans="2:10" x14ac:dyDescent="0.2">
      <c r="C61" s="5"/>
      <c r="D61" s="5"/>
      <c r="E61" s="5"/>
    </row>
    <row r="62" spans="2:10" x14ac:dyDescent="0.2">
      <c r="B62" s="1" t="s">
        <v>46</v>
      </c>
      <c r="C62" s="3"/>
      <c r="D62" s="3"/>
      <c r="E62" s="3"/>
    </row>
    <row r="63" spans="2:10" x14ac:dyDescent="0.2">
      <c r="B63" s="17" t="s">
        <v>47</v>
      </c>
      <c r="C63" s="19">
        <v>16.399999999999999</v>
      </c>
      <c r="D63" s="19">
        <v>21.1</v>
      </c>
      <c r="E63" s="19">
        <v>0.3</v>
      </c>
      <c r="F63" s="5">
        <f>F56</f>
        <v>-10.874971292905197</v>
      </c>
      <c r="G63" s="5">
        <f>G56</f>
        <v>-18.73879757749507</v>
      </c>
      <c r="H63" s="5">
        <f>H56</f>
        <v>-22.215349397321617</v>
      </c>
      <c r="I63" s="5">
        <f>I56</f>
        <v>-22.121780025615394</v>
      </c>
      <c r="J63" s="5">
        <f>J56</f>
        <v>-17.390853445296194</v>
      </c>
    </row>
    <row r="64" spans="2:10" x14ac:dyDescent="0.2">
      <c r="B64" s="17" t="s">
        <v>48</v>
      </c>
      <c r="C64" s="19">
        <v>27</v>
      </c>
      <c r="D64" s="19">
        <v>27.8</v>
      </c>
      <c r="E64" s="19">
        <v>28.3</v>
      </c>
      <c r="F64">
        <f>F10*Assumptions!H20/365</f>
        <v>26.858359013698632</v>
      </c>
      <c r="G64">
        <f>G10*Assumptions!I20/365</f>
        <v>27.862675340054796</v>
      </c>
      <c r="H64">
        <f>H10*Assumptions!J20/365</f>
        <v>28.445330954958905</v>
      </c>
      <c r="I64">
        <f>I10*Assumptions!K20/365</f>
        <v>29.725370847932048</v>
      </c>
      <c r="J64">
        <f>J10*Assumptions!L20/365</f>
        <v>31.211639390328656</v>
      </c>
    </row>
    <row r="65" spans="2:10" x14ac:dyDescent="0.2">
      <c r="B65" s="17" t="s">
        <v>49</v>
      </c>
      <c r="C65" s="19">
        <v>36.5</v>
      </c>
      <c r="D65" s="19">
        <v>36.1</v>
      </c>
      <c r="E65" s="19">
        <v>35.1</v>
      </c>
      <c r="F65">
        <f>F12*Assumptions!H21/365</f>
        <v>35.523099182465756</v>
      </c>
      <c r="G65">
        <f>G12*Assumptions!I21/365</f>
        <v>35.90650856866192</v>
      </c>
      <c r="H65">
        <f>H12*Assumptions!J21/365</f>
        <v>35.550342509041968</v>
      </c>
      <c r="I65">
        <f>I12*Assumptions!K21/365</f>
        <v>36.648079436517115</v>
      </c>
      <c r="J65">
        <f>J12*Assumptions!L21/365</f>
        <v>37.953353498639643</v>
      </c>
    </row>
    <row r="66" spans="2:10" x14ac:dyDescent="0.2">
      <c r="B66" s="17" t="s">
        <v>50</v>
      </c>
      <c r="C66" s="19">
        <v>14.6</v>
      </c>
      <c r="D66" s="19">
        <v>14.4</v>
      </c>
      <c r="E66" s="19">
        <v>14.9</v>
      </c>
      <c r="F66">
        <f>F10*Assumptions!H22</f>
        <v>14.918066800000002</v>
      </c>
      <c r="G66">
        <f>G10*Assumptions!I22</f>
        <v>15.475899020400002</v>
      </c>
      <c r="H66">
        <f>H10*Assumptions!J22</f>
        <v>16.150626797760001</v>
      </c>
      <c r="I66">
        <f>I10*Assumptions!K22</f>
        <v>16.877405003659199</v>
      </c>
      <c r="J66">
        <f>J10*Assumptions!L22</f>
        <v>17.721275253842162</v>
      </c>
    </row>
    <row r="67" spans="2:10" x14ac:dyDescent="0.2">
      <c r="B67" s="17" t="s">
        <v>34</v>
      </c>
      <c r="C67" s="19">
        <v>1.4</v>
      </c>
      <c r="D67" s="19">
        <v>1.8</v>
      </c>
      <c r="E67" s="19">
        <v>1.2</v>
      </c>
      <c r="F67">
        <f>F10*Assumptions!H23</f>
        <v>1.4918066800000001</v>
      </c>
      <c r="G67">
        <f>G10*Assumptions!I23</f>
        <v>1.5475899020400001</v>
      </c>
      <c r="H67">
        <f>H10*Assumptions!J23</f>
        <v>1.6150626797760002</v>
      </c>
      <c r="I67">
        <f>I10*Assumptions!K23</f>
        <v>1.6877405003659198</v>
      </c>
      <c r="J67">
        <f>J10*Assumptions!L23</f>
        <v>1.7721275253842159</v>
      </c>
    </row>
    <row r="68" spans="2:10" x14ac:dyDescent="0.2">
      <c r="B68" s="2" t="s">
        <v>51</v>
      </c>
      <c r="C68" s="4">
        <f t="shared" ref="C68:J68" si="12">C63+C64+C65+C66+C67</f>
        <v>95.9</v>
      </c>
      <c r="D68" s="4">
        <f t="shared" si="12"/>
        <v>101.2</v>
      </c>
      <c r="E68" s="4">
        <f t="shared" si="12"/>
        <v>79.800000000000011</v>
      </c>
      <c r="F68" s="4">
        <f t="shared" si="12"/>
        <v>67.916360383259189</v>
      </c>
      <c r="G68" s="4">
        <f t="shared" si="12"/>
        <v>62.053875253661651</v>
      </c>
      <c r="H68" s="4">
        <f t="shared" si="12"/>
        <v>59.546013544215256</v>
      </c>
      <c r="I68" s="4">
        <f t="shared" si="12"/>
        <v>62.816815762858887</v>
      </c>
      <c r="J68" s="4">
        <f t="shared" si="12"/>
        <v>71.267542222898484</v>
      </c>
    </row>
    <row r="69" spans="2:10" x14ac:dyDescent="0.2">
      <c r="C69" s="5"/>
      <c r="D69" s="5"/>
      <c r="E69" s="5"/>
    </row>
    <row r="70" spans="2:10" x14ac:dyDescent="0.2">
      <c r="B70" s="17" t="s">
        <v>52</v>
      </c>
      <c r="C70" s="19">
        <v>398.5</v>
      </c>
      <c r="D70" s="19">
        <v>398</v>
      </c>
      <c r="E70" s="19">
        <v>397.7</v>
      </c>
      <c r="F70" s="5">
        <f>E70-F43-F19</f>
        <v>397.7</v>
      </c>
      <c r="G70" s="5">
        <f>F70-G43-G19</f>
        <v>397.7</v>
      </c>
      <c r="H70" s="5">
        <f>G70-H43-H19</f>
        <v>397.8</v>
      </c>
      <c r="I70" s="5">
        <f>H70-I43-I19</f>
        <v>397.8</v>
      </c>
      <c r="J70" s="5">
        <f>I70-J43-J19</f>
        <v>398.1</v>
      </c>
    </row>
    <row r="71" spans="2:10" x14ac:dyDescent="0.2">
      <c r="B71" s="17" t="s">
        <v>34</v>
      </c>
      <c r="C71" s="19">
        <v>19</v>
      </c>
      <c r="D71" s="19">
        <v>15</v>
      </c>
      <c r="E71" s="19">
        <v>12</v>
      </c>
      <c r="F71">
        <f>Assumptions!H35</f>
        <v>9</v>
      </c>
      <c r="G71">
        <f>Assumptions!I35</f>
        <v>6</v>
      </c>
      <c r="H71">
        <f>Assumptions!J35</f>
        <v>6</v>
      </c>
      <c r="I71">
        <f>Assumptions!K35</f>
        <v>6</v>
      </c>
      <c r="J71">
        <f>Assumptions!L35</f>
        <v>6</v>
      </c>
    </row>
    <row r="72" spans="2:10" x14ac:dyDescent="0.2">
      <c r="B72" s="2" t="s">
        <v>53</v>
      </c>
      <c r="C72" s="4">
        <f t="shared" ref="C72:E72" si="13">C70+C71</f>
        <v>417.5</v>
      </c>
      <c r="D72" s="4">
        <f t="shared" si="13"/>
        <v>413</v>
      </c>
      <c r="E72" s="4">
        <f t="shared" si="13"/>
        <v>409.7</v>
      </c>
      <c r="F72" s="4">
        <f>F70+F71</f>
        <v>406.7</v>
      </c>
      <c r="G72" s="4">
        <f>G70+G71</f>
        <v>403.7</v>
      </c>
      <c r="H72" s="4">
        <f>H70+H71</f>
        <v>403.8</v>
      </c>
      <c r="I72" s="4">
        <f>I70+I71</f>
        <v>403.8</v>
      </c>
      <c r="J72" s="4">
        <f>J70+J71</f>
        <v>404.1</v>
      </c>
    </row>
    <row r="73" spans="2:10" x14ac:dyDescent="0.2">
      <c r="C73" s="5"/>
      <c r="D73" s="5"/>
      <c r="E73" s="5"/>
    </row>
    <row r="74" spans="2:10" x14ac:dyDescent="0.2">
      <c r="B74" s="6" t="s">
        <v>54</v>
      </c>
      <c r="C74" s="7">
        <f t="shared" ref="C74:E74" si="14">C68+C72</f>
        <v>513.4</v>
      </c>
      <c r="D74" s="7">
        <f t="shared" si="14"/>
        <v>514.20000000000005</v>
      </c>
      <c r="E74" s="7">
        <f t="shared" si="14"/>
        <v>489.5</v>
      </c>
      <c r="F74" s="38">
        <f>F68+F72</f>
        <v>474.61636038325918</v>
      </c>
      <c r="G74" s="38">
        <f>G68+G72</f>
        <v>465.75387525366165</v>
      </c>
      <c r="H74" s="38">
        <f>H68+H72</f>
        <v>463.34601354421528</v>
      </c>
      <c r="I74" s="38">
        <f>I68+I72</f>
        <v>466.61681576285889</v>
      </c>
      <c r="J74" s="38">
        <f>J68+J72</f>
        <v>475.36754222289852</v>
      </c>
    </row>
    <row r="75" spans="2:10" x14ac:dyDescent="0.2">
      <c r="C75" s="5"/>
      <c r="D75" s="5"/>
      <c r="E75" s="5"/>
    </row>
    <row r="76" spans="2:10" x14ac:dyDescent="0.2">
      <c r="B76" s="1" t="s">
        <v>55</v>
      </c>
      <c r="C76" s="3"/>
      <c r="D76" s="3"/>
      <c r="E76" s="3"/>
    </row>
    <row r="77" spans="2:10" x14ac:dyDescent="0.2">
      <c r="B77" s="17" t="s">
        <v>56</v>
      </c>
      <c r="C77" s="19">
        <v>0</v>
      </c>
      <c r="D77" s="19">
        <v>0</v>
      </c>
      <c r="E77" s="19">
        <v>0</v>
      </c>
      <c r="F77" s="5">
        <f>E77+F48</f>
        <v>0</v>
      </c>
      <c r="G77" s="5">
        <f>F77+G48</f>
        <v>0</v>
      </c>
      <c r="H77" s="5">
        <f>G77+H48</f>
        <v>0</v>
      </c>
      <c r="I77" s="5">
        <f>H77+I48</f>
        <v>0</v>
      </c>
      <c r="J77" s="5">
        <f>I77+J48</f>
        <v>0</v>
      </c>
    </row>
    <row r="78" spans="2:10" x14ac:dyDescent="0.2">
      <c r="B78" s="17" t="s">
        <v>57</v>
      </c>
      <c r="C78" s="19">
        <v>18.3</v>
      </c>
      <c r="D78" s="19">
        <v>18.7</v>
      </c>
      <c r="E78" s="19">
        <v>18.2</v>
      </c>
      <c r="F78">
        <f>F12*Assumptions!H24/365</f>
        <v>18.672398288219178</v>
      </c>
      <c r="G78">
        <f>G12*Assumptions!I24/365</f>
        <v>18.873933991219726</v>
      </c>
      <c r="H78">
        <f>H12*Assumptions!J24/365</f>
        <v>19.178474248298958</v>
      </c>
      <c r="I78">
        <f>I12*Assumptions!K24/365</f>
        <v>19.770674432857916</v>
      </c>
      <c r="J78">
        <f>J12*Assumptions!L24/365</f>
        <v>20.4748354400556</v>
      </c>
    </row>
    <row r="79" spans="2:10" x14ac:dyDescent="0.2">
      <c r="B79" s="17" t="s">
        <v>34</v>
      </c>
      <c r="C79" s="19">
        <v>4.7</v>
      </c>
      <c r="D79" s="19">
        <v>4.9000000000000004</v>
      </c>
      <c r="E79" s="19">
        <v>4.8</v>
      </c>
      <c r="F79">
        <f>F10*Assumptions!H25</f>
        <v>4.9016505199999996</v>
      </c>
      <c r="G79">
        <f>G10*Assumptions!I25</f>
        <v>5.0849382495600004</v>
      </c>
      <c r="H79">
        <f>H10*Assumptions!J25</f>
        <v>5.3066345192639996</v>
      </c>
      <c r="I79">
        <f>I10*Assumptions!K25</f>
        <v>5.5454330726308791</v>
      </c>
      <c r="J79">
        <f>J10*Assumptions!L25</f>
        <v>5.8227047262624234</v>
      </c>
    </row>
    <row r="80" spans="2:10" x14ac:dyDescent="0.2">
      <c r="B80" s="2" t="s">
        <v>58</v>
      </c>
      <c r="C80" s="4">
        <f t="shared" ref="C80:J80" si="15">C77+C78+C79</f>
        <v>23</v>
      </c>
      <c r="D80" s="4">
        <f t="shared" si="15"/>
        <v>23.6</v>
      </c>
      <c r="E80" s="4">
        <f t="shared" si="15"/>
        <v>23</v>
      </c>
      <c r="F80" s="4">
        <f t="shared" si="15"/>
        <v>23.574048808219178</v>
      </c>
      <c r="G80" s="4">
        <f t="shared" si="15"/>
        <v>23.958872240779726</v>
      </c>
      <c r="H80" s="4">
        <f t="shared" si="15"/>
        <v>24.485108767562956</v>
      </c>
      <c r="I80" s="4">
        <f t="shared" si="15"/>
        <v>25.316107505488795</v>
      </c>
      <c r="J80" s="4">
        <f t="shared" si="15"/>
        <v>26.297540166318022</v>
      </c>
    </row>
    <row r="81" spans="2:10" x14ac:dyDescent="0.2">
      <c r="C81" s="5"/>
      <c r="D81" s="5"/>
      <c r="E81" s="5"/>
    </row>
    <row r="82" spans="2:10" x14ac:dyDescent="0.2">
      <c r="B82" s="17" t="s">
        <v>24</v>
      </c>
      <c r="C82" s="19">
        <v>0.7</v>
      </c>
      <c r="D82" s="19">
        <v>6.9</v>
      </c>
      <c r="E82" s="19">
        <v>8</v>
      </c>
      <c r="F82" s="5">
        <f>E82+F38</f>
        <v>9.6883880966400007</v>
      </c>
      <c r="G82" s="5">
        <f>F82+G38</f>
        <v>12.212788867118718</v>
      </c>
      <c r="H82" s="5">
        <f>G82+H38</f>
        <v>15.654352566087807</v>
      </c>
      <c r="I82" s="5">
        <f>H82+I38</f>
        <v>19.819326111569048</v>
      </c>
      <c r="J82" s="5">
        <f>I82+J38</f>
        <v>24.769038738385831</v>
      </c>
    </row>
    <row r="83" spans="2:10" x14ac:dyDescent="0.2">
      <c r="B83" s="17" t="s">
        <v>59</v>
      </c>
      <c r="C83" s="19">
        <v>250</v>
      </c>
      <c r="D83" s="19">
        <v>225</v>
      </c>
      <c r="E83" s="19">
        <v>200</v>
      </c>
      <c r="F83" s="5">
        <f>E83+F49</f>
        <v>175</v>
      </c>
      <c r="G83" s="5">
        <f>F83+G49</f>
        <v>150</v>
      </c>
      <c r="H83" s="5">
        <f>G83+H49</f>
        <v>125</v>
      </c>
      <c r="I83" s="5">
        <f>H83+I49</f>
        <v>100</v>
      </c>
      <c r="J83" s="5">
        <f>I83+J49</f>
        <v>75</v>
      </c>
    </row>
    <row r="84" spans="2:10" x14ac:dyDescent="0.2">
      <c r="B84" s="2" t="s">
        <v>60</v>
      </c>
      <c r="C84" s="4">
        <f t="shared" ref="C84:E84" si="16">C82+C83</f>
        <v>250.7</v>
      </c>
      <c r="D84" s="4">
        <f t="shared" si="16"/>
        <v>231.9</v>
      </c>
      <c r="E84" s="4">
        <f t="shared" si="16"/>
        <v>208</v>
      </c>
      <c r="F84" s="4">
        <f>F82+F83</f>
        <v>184.68838809664001</v>
      </c>
      <c r="G84" s="4">
        <f>G82+G83</f>
        <v>162.21278886711872</v>
      </c>
      <c r="H84" s="4">
        <f>H82+H83</f>
        <v>140.65435256608779</v>
      </c>
      <c r="I84" s="4">
        <f>I82+I83</f>
        <v>119.81932611156904</v>
      </c>
      <c r="J84" s="4">
        <f>J82+J83</f>
        <v>99.769038738385831</v>
      </c>
    </row>
    <row r="85" spans="2:10" x14ac:dyDescent="0.2">
      <c r="C85" s="5"/>
      <c r="D85" s="5"/>
      <c r="E85" s="5"/>
    </row>
    <row r="86" spans="2:10" x14ac:dyDescent="0.2">
      <c r="B86" s="2" t="s">
        <v>61</v>
      </c>
      <c r="C86" s="4">
        <f t="shared" ref="C86:E86" si="17">C80+C84</f>
        <v>273.7</v>
      </c>
      <c r="D86" s="4">
        <f t="shared" si="17"/>
        <v>255.5</v>
      </c>
      <c r="E86" s="4">
        <f t="shared" si="17"/>
        <v>231</v>
      </c>
      <c r="F86" s="4">
        <f>F80+F84</f>
        <v>208.26243690485919</v>
      </c>
      <c r="G86" s="4">
        <f>G80+G84</f>
        <v>186.17166110789844</v>
      </c>
      <c r="H86" s="4">
        <f>H80+H84</f>
        <v>165.13946133365076</v>
      </c>
      <c r="I86" s="4">
        <f>I80+I84</f>
        <v>145.13543361705783</v>
      </c>
      <c r="J86" s="4">
        <f>J80+J84</f>
        <v>126.06657890470385</v>
      </c>
    </row>
    <row r="87" spans="2:10" x14ac:dyDescent="0.2">
      <c r="C87" s="5"/>
      <c r="D87" s="5"/>
      <c r="E87" s="5"/>
    </row>
    <row r="88" spans="2:10" x14ac:dyDescent="0.2">
      <c r="B88" s="17" t="s">
        <v>62</v>
      </c>
      <c r="C88" s="19">
        <v>120</v>
      </c>
      <c r="D88" s="19">
        <v>120</v>
      </c>
      <c r="E88" s="19">
        <v>120</v>
      </c>
      <c r="F88" s="5">
        <f>E88+F50</f>
        <v>120</v>
      </c>
      <c r="G88" s="5">
        <f>F88+G50</f>
        <v>120</v>
      </c>
      <c r="H88" s="5">
        <f>G88+H50</f>
        <v>120</v>
      </c>
      <c r="I88" s="5">
        <f>H88+I50</f>
        <v>120</v>
      </c>
      <c r="J88" s="5">
        <f>I88+J50</f>
        <v>120</v>
      </c>
    </row>
    <row r="89" spans="2:10" x14ac:dyDescent="0.2">
      <c r="B89" s="17" t="s">
        <v>63</v>
      </c>
      <c r="C89" s="19">
        <v>119.7</v>
      </c>
      <c r="D89" s="19">
        <v>138.69999999999999</v>
      </c>
      <c r="E89" s="19">
        <v>138.5</v>
      </c>
      <c r="F89" s="5">
        <f>E89+F29+F51</f>
        <v>146.35392347839999</v>
      </c>
      <c r="G89" s="5">
        <f>F89+G29+G51</f>
        <v>159.58221414576317</v>
      </c>
      <c r="H89" s="5">
        <f>G89+H29+H51</f>
        <v>178.20655221056447</v>
      </c>
      <c r="I89" s="5">
        <f>H89+I29+I51</f>
        <v>201.48138214580101</v>
      </c>
      <c r="J89" s="5">
        <f>I89+J29+J51</f>
        <v>229.30096331819459</v>
      </c>
    </row>
    <row r="90" spans="2:10" x14ac:dyDescent="0.2">
      <c r="B90" s="2" t="s">
        <v>64</v>
      </c>
      <c r="C90" s="4">
        <f t="shared" ref="C90:E90" si="18">C88+C89</f>
        <v>239.7</v>
      </c>
      <c r="D90" s="4">
        <f t="shared" si="18"/>
        <v>258.7</v>
      </c>
      <c r="E90" s="4">
        <f t="shared" si="18"/>
        <v>258.5</v>
      </c>
      <c r="F90" s="4">
        <f>F88+F89</f>
        <v>266.35392347840002</v>
      </c>
      <c r="G90" s="4">
        <f>G88+G89</f>
        <v>279.58221414576315</v>
      </c>
      <c r="H90" s="4">
        <f>H88+H89</f>
        <v>298.2065522105645</v>
      </c>
      <c r="I90" s="4">
        <f>I88+I89</f>
        <v>321.48138214580104</v>
      </c>
      <c r="J90" s="4">
        <f>J88+J89</f>
        <v>349.30096331819459</v>
      </c>
    </row>
    <row r="91" spans="2:10" x14ac:dyDescent="0.2">
      <c r="C91" s="5"/>
      <c r="D91" s="5"/>
      <c r="E91" s="5"/>
    </row>
    <row r="92" spans="2:10" x14ac:dyDescent="0.2">
      <c r="B92" s="6" t="s">
        <v>65</v>
      </c>
      <c r="C92" s="7">
        <f t="shared" ref="C92:E92" si="19">C86+C90</f>
        <v>513.4</v>
      </c>
      <c r="D92" s="7">
        <f t="shared" si="19"/>
        <v>514.20000000000005</v>
      </c>
      <c r="E92" s="7">
        <f t="shared" si="19"/>
        <v>489.5</v>
      </c>
      <c r="F92" s="38">
        <f>F86+F90</f>
        <v>474.61636038325923</v>
      </c>
      <c r="G92" s="38">
        <f>G86+G90</f>
        <v>465.75387525366159</v>
      </c>
      <c r="H92" s="38">
        <f>H86+H90</f>
        <v>463.34601354421523</v>
      </c>
      <c r="I92" s="38">
        <f>I86+I90</f>
        <v>466.61681576285889</v>
      </c>
      <c r="J92" s="38">
        <f>J86+J90</f>
        <v>475.36754222289846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06D6-F2AE-4D8E-848B-21350713E48F}">
  <dimension ref="B2:L35"/>
  <sheetViews>
    <sheetView workbookViewId="0"/>
  </sheetViews>
  <sheetFormatPr baseColWidth="10" defaultColWidth="8.83203125" defaultRowHeight="15" x14ac:dyDescent="0.2"/>
  <cols>
    <col min="2" max="2" width="40" customWidth="1"/>
    <col min="4" max="6" width="9.33203125" bestFit="1" customWidth="1"/>
  </cols>
  <sheetData>
    <row r="2" spans="2:12" ht="19" x14ac:dyDescent="0.25">
      <c r="B2" s="21" t="s">
        <v>8</v>
      </c>
    </row>
    <row r="3" spans="2:12" ht="19" x14ac:dyDescent="0.25">
      <c r="B3" s="21" t="s">
        <v>66</v>
      </c>
    </row>
    <row r="5" spans="2:12" x14ac:dyDescent="0.2">
      <c r="B5" s="23" t="s">
        <v>67</v>
      </c>
    </row>
    <row r="7" spans="2:12" ht="16" x14ac:dyDescent="0.2">
      <c r="B7" s="24" t="s">
        <v>68</v>
      </c>
      <c r="D7" s="25" t="s">
        <v>0</v>
      </c>
      <c r="E7" s="25" t="s">
        <v>1</v>
      </c>
      <c r="F7" s="25" t="s">
        <v>2</v>
      </c>
      <c r="H7" s="25" t="s">
        <v>3</v>
      </c>
      <c r="I7" s="25" t="s">
        <v>4</v>
      </c>
      <c r="J7" s="25" t="s">
        <v>5</v>
      </c>
      <c r="K7" s="25" t="s">
        <v>6</v>
      </c>
      <c r="L7" s="25" t="s">
        <v>7</v>
      </c>
    </row>
    <row r="8" spans="2:12" x14ac:dyDescent="0.2">
      <c r="B8" s="22" t="s">
        <v>69</v>
      </c>
      <c r="D8" s="26">
        <f>(Financials!C8-244.8)/244.8</f>
        <v>0</v>
      </c>
      <c r="E8" s="26">
        <f>(Financials!D8-Financials!C8)/Financials!C8</f>
        <v>0.10008169934640522</v>
      </c>
      <c r="F8" s="26">
        <f>(Financials!E8-Financials!D8)/Financials!D8</f>
        <v>-0.11177125881916086</v>
      </c>
      <c r="H8" s="27">
        <v>0.03</v>
      </c>
      <c r="I8" s="27">
        <v>3.5000000000000003E-2</v>
      </c>
      <c r="J8" s="27">
        <v>0.04</v>
      </c>
      <c r="K8" s="27">
        <v>4.4999999999999998E-2</v>
      </c>
      <c r="L8" s="27">
        <v>0.05</v>
      </c>
    </row>
    <row r="9" spans="2:12" x14ac:dyDescent="0.2">
      <c r="B9" s="22" t="s">
        <v>70</v>
      </c>
      <c r="D9" s="26">
        <f>Financials!C9/Financials!C8</f>
        <v>0.127859477124183</v>
      </c>
      <c r="E9" s="26">
        <f>Financials!D9/Financials!D8</f>
        <v>0.12142591904938731</v>
      </c>
      <c r="F9" s="26">
        <f>Financials!E9/Financials!E8</f>
        <v>0.14381270903010032</v>
      </c>
      <c r="H9" s="27">
        <v>0.13500000000000001</v>
      </c>
      <c r="I9" s="27">
        <v>0.13300000000000001</v>
      </c>
      <c r="J9" s="27">
        <v>0.13</v>
      </c>
      <c r="K9" s="27">
        <v>0.13</v>
      </c>
      <c r="L9" s="27">
        <v>0.13</v>
      </c>
    </row>
    <row r="10" spans="2:12" x14ac:dyDescent="0.2">
      <c r="B10" s="22" t="s">
        <v>71</v>
      </c>
      <c r="D10" s="26">
        <f>Financials!C12/Financials!C10</f>
        <v>0.74894613583138181</v>
      </c>
      <c r="E10" s="26">
        <f>Financials!D12/Financials!D10</f>
        <v>0.69568892645815716</v>
      </c>
      <c r="F10" s="26">
        <f>Financials!E12/Financials!E10</f>
        <v>0.81982421875000011</v>
      </c>
      <c r="H10" s="27">
        <v>0.78</v>
      </c>
      <c r="I10" s="27">
        <v>0.76</v>
      </c>
      <c r="J10" s="27">
        <v>0.74</v>
      </c>
      <c r="K10" s="27">
        <v>0.73</v>
      </c>
      <c r="L10" s="27">
        <v>0.72</v>
      </c>
    </row>
    <row r="11" spans="2:12" x14ac:dyDescent="0.2">
      <c r="B11" s="22" t="s">
        <v>72</v>
      </c>
      <c r="D11" s="26">
        <f>Financials!C13/Financials!C10</f>
        <v>1.5925058548009366E-2</v>
      </c>
      <c r="E11" s="26">
        <f>Financials!D13/Financials!D10</f>
        <v>1.5215553677092137E-2</v>
      </c>
      <c r="F11" s="26">
        <f>Financials!E13/Financials!E10</f>
        <v>1.85546875E-2</v>
      </c>
      <c r="H11" s="27">
        <v>1.7000000000000001E-2</v>
      </c>
      <c r="I11" s="27">
        <v>1.7000000000000001E-2</v>
      </c>
      <c r="J11" s="27">
        <v>1.7000000000000001E-2</v>
      </c>
      <c r="K11" s="27">
        <v>1.7000000000000001E-2</v>
      </c>
      <c r="L11" s="27">
        <v>1.7000000000000001E-2</v>
      </c>
    </row>
    <row r="12" spans="2:12" x14ac:dyDescent="0.2">
      <c r="B12" s="22" t="s">
        <v>73</v>
      </c>
      <c r="D12" s="28">
        <f>Financials!C16</f>
        <v>0</v>
      </c>
      <c r="E12" s="28">
        <f>Financials!D16</f>
        <v>0</v>
      </c>
      <c r="F12" s="28">
        <f>Financials!E16</f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</row>
    <row r="14" spans="2:12" ht="16" x14ac:dyDescent="0.2">
      <c r="B14" s="24" t="s">
        <v>74</v>
      </c>
    </row>
    <row r="15" spans="2:12" x14ac:dyDescent="0.2">
      <c r="B15" s="22" t="s">
        <v>75</v>
      </c>
      <c r="D15" s="30">
        <f>Financials!C19</f>
        <v>15.4</v>
      </c>
      <c r="E15" s="30">
        <f>Financials!D19</f>
        <v>15.5</v>
      </c>
      <c r="F15" s="30">
        <f>Financials!E19</f>
        <v>15.8</v>
      </c>
      <c r="H15" s="31">
        <v>16</v>
      </c>
      <c r="I15" s="31">
        <v>16.2</v>
      </c>
      <c r="J15" s="31">
        <v>16.399999999999999</v>
      </c>
      <c r="K15" s="31">
        <v>16.5</v>
      </c>
      <c r="L15" s="31">
        <v>16.7</v>
      </c>
    </row>
    <row r="16" spans="2:12" x14ac:dyDescent="0.2">
      <c r="B16" s="22" t="s">
        <v>76</v>
      </c>
      <c r="D16" s="26">
        <f>IF(Financials!C23&gt;0,Financials!C27/Financials!C23,0)</f>
        <v>0.28787878787878801</v>
      </c>
      <c r="E16" s="26">
        <f>IF(Financials!D23&gt;0,Financials!D27/Financials!D23,0)</f>
        <v>0.37467018469656954</v>
      </c>
      <c r="F16" s="26">
        <f>IF(Financials!E23&gt;0,Financials!E27/Financials!E23,0)</f>
        <v>0.33333333333333687</v>
      </c>
      <c r="H16" s="27">
        <v>0.28000000000000003</v>
      </c>
      <c r="I16" s="27">
        <v>0.28000000000000003</v>
      </c>
      <c r="J16" s="27">
        <v>0.28000000000000003</v>
      </c>
      <c r="K16" s="27">
        <v>0.28000000000000003</v>
      </c>
      <c r="L16" s="27">
        <v>0.28000000000000003</v>
      </c>
    </row>
    <row r="17" spans="2:12" x14ac:dyDescent="0.2">
      <c r="B17" s="22" t="s">
        <v>77</v>
      </c>
      <c r="D17" s="26">
        <f>IF(Financials!C27&gt;0,Financials!C25/Financials!C27,0)</f>
        <v>0.52631578947368418</v>
      </c>
      <c r="E17" s="26">
        <f>IF(Financials!D27&gt;0,Financials!D25/Financials!D27,0)</f>
        <v>0.56338028169014087</v>
      </c>
      <c r="F17" s="26">
        <f>IF(Financials!E27&gt;0,Financials!E25/Financials!E27,0)</f>
        <v>0</v>
      </c>
      <c r="H17" s="27">
        <v>0.6</v>
      </c>
      <c r="I17" s="27">
        <v>0.6</v>
      </c>
      <c r="J17" s="27">
        <v>0.6</v>
      </c>
      <c r="K17" s="27">
        <v>0.6</v>
      </c>
      <c r="L17" s="27">
        <v>0.6</v>
      </c>
    </row>
    <row r="19" spans="2:12" ht="16" x14ac:dyDescent="0.2">
      <c r="B19" s="24" t="s">
        <v>78</v>
      </c>
    </row>
    <row r="20" spans="2:12" x14ac:dyDescent="0.2">
      <c r="B20" s="22" t="s">
        <v>79</v>
      </c>
      <c r="D20" s="32">
        <f>Financials!C64/Financials!C10*365</f>
        <v>46.159250585480095</v>
      </c>
      <c r="E20" s="32">
        <f>Financials!D64/Financials!D10*365</f>
        <v>42.886728655959423</v>
      </c>
      <c r="F20" s="32">
        <f>Financials!E64/Financials!E10*365</f>
        <v>50.437011718750007</v>
      </c>
      <c r="H20" s="33">
        <v>46</v>
      </c>
      <c r="I20" s="33">
        <v>46</v>
      </c>
      <c r="J20" s="33">
        <v>45</v>
      </c>
      <c r="K20" s="33">
        <v>45</v>
      </c>
      <c r="L20" s="33">
        <v>45</v>
      </c>
    </row>
    <row r="21" spans="2:12" x14ac:dyDescent="0.2">
      <c r="B21" s="22" t="s">
        <v>80</v>
      </c>
      <c r="D21" s="32">
        <f>Financials!C65/Financials!C12*365</f>
        <v>83.317698561600992</v>
      </c>
      <c r="E21" s="32">
        <f>Financials!D65/Financials!D12*365</f>
        <v>80.051640340218725</v>
      </c>
      <c r="F21" s="32">
        <f>Financials!E65/Financials!E12*365</f>
        <v>76.304347826086953</v>
      </c>
      <c r="H21" s="33">
        <v>78</v>
      </c>
      <c r="I21" s="33">
        <v>78</v>
      </c>
      <c r="J21" s="33">
        <v>76</v>
      </c>
      <c r="K21" s="33">
        <v>76</v>
      </c>
      <c r="L21" s="33">
        <v>76</v>
      </c>
    </row>
    <row r="22" spans="2:12" x14ac:dyDescent="0.2">
      <c r="B22" s="22" t="s">
        <v>81</v>
      </c>
      <c r="D22" s="26">
        <f>Financials!C66/Financials!C10</f>
        <v>6.8384074941451989E-2</v>
      </c>
      <c r="E22" s="26">
        <f>Financials!D66/Financials!D10</f>
        <v>6.0862214708368549E-2</v>
      </c>
      <c r="F22" s="26">
        <f>Financials!E66/Financials!E10</f>
        <v>7.2753906250000014E-2</v>
      </c>
      <c r="H22" s="27">
        <v>7.0000000000000007E-2</v>
      </c>
      <c r="I22" s="27">
        <v>7.0000000000000007E-2</v>
      </c>
      <c r="J22" s="27">
        <v>7.0000000000000007E-2</v>
      </c>
      <c r="K22" s="27">
        <v>7.0000000000000007E-2</v>
      </c>
      <c r="L22" s="27">
        <v>7.0000000000000007E-2</v>
      </c>
    </row>
    <row r="23" spans="2:12" x14ac:dyDescent="0.2">
      <c r="B23" s="22" t="s">
        <v>82</v>
      </c>
      <c r="D23" s="26">
        <f>Financials!C67/Financials!C10</f>
        <v>6.5573770491803279E-3</v>
      </c>
      <c r="E23" s="26">
        <f>Financials!D67/Financials!D10</f>
        <v>7.6077768385460686E-3</v>
      </c>
      <c r="F23" s="26">
        <f>Financials!E67/Financials!E10</f>
        <v>5.859375E-3</v>
      </c>
      <c r="H23" s="27">
        <v>7.0000000000000001E-3</v>
      </c>
      <c r="I23" s="27">
        <v>7.0000000000000001E-3</v>
      </c>
      <c r="J23" s="27">
        <v>7.0000000000000001E-3</v>
      </c>
      <c r="K23" s="27">
        <v>7.0000000000000001E-3</v>
      </c>
      <c r="L23" s="27">
        <v>7.0000000000000001E-3</v>
      </c>
    </row>
    <row r="24" spans="2:12" x14ac:dyDescent="0.2">
      <c r="B24" s="22" t="s">
        <v>83</v>
      </c>
      <c r="D24" s="32">
        <f>Financials!C78/Financials!C12*365</f>
        <v>41.772983114446525</v>
      </c>
      <c r="E24" s="32">
        <f>Financials!D78/Financials!D12*365</f>
        <v>41.467193195625761</v>
      </c>
      <c r="F24" s="32">
        <f>Financials!E78/Financials!E12*365</f>
        <v>39.565217391304344</v>
      </c>
      <c r="H24" s="33">
        <v>41</v>
      </c>
      <c r="I24" s="33">
        <v>41</v>
      </c>
      <c r="J24" s="33">
        <v>41</v>
      </c>
      <c r="K24" s="33">
        <v>41</v>
      </c>
      <c r="L24" s="33">
        <v>41</v>
      </c>
    </row>
    <row r="25" spans="2:12" x14ac:dyDescent="0.2">
      <c r="B25" s="22" t="s">
        <v>84</v>
      </c>
      <c r="D25" s="26">
        <f>Financials!C79/Financials!C10</f>
        <v>2.2014051522248244E-2</v>
      </c>
      <c r="E25" s="26">
        <f>Financials!D79/Financials!D10</f>
        <v>2.0710059171597631E-2</v>
      </c>
      <c r="F25" s="26">
        <f>Financials!E79/Financials!E10</f>
        <v>2.34375E-2</v>
      </c>
      <c r="H25" s="27">
        <v>2.3E-2</v>
      </c>
      <c r="I25" s="27">
        <v>2.3E-2</v>
      </c>
      <c r="J25" s="27">
        <v>2.3E-2</v>
      </c>
      <c r="K25" s="27">
        <v>2.3E-2</v>
      </c>
      <c r="L25" s="27">
        <v>2.3E-2</v>
      </c>
    </row>
    <row r="27" spans="2:12" ht="16" x14ac:dyDescent="0.2">
      <c r="B27" s="24" t="s">
        <v>85</v>
      </c>
    </row>
    <row r="28" spans="2:12" x14ac:dyDescent="0.2">
      <c r="B28" s="22" t="s">
        <v>86</v>
      </c>
      <c r="D28" s="30">
        <f>-Financials!C43</f>
        <v>14.1</v>
      </c>
      <c r="E28" s="30">
        <f>-Financials!D43</f>
        <v>15</v>
      </c>
      <c r="F28" s="30">
        <f>-Financials!E43</f>
        <v>15.5</v>
      </c>
      <c r="H28" s="31">
        <v>16</v>
      </c>
      <c r="I28" s="31">
        <v>16.2</v>
      </c>
      <c r="J28" s="31">
        <v>16.5</v>
      </c>
      <c r="K28" s="31">
        <v>16.5</v>
      </c>
      <c r="L28" s="31">
        <v>17</v>
      </c>
    </row>
    <row r="29" spans="2:12" x14ac:dyDescent="0.2">
      <c r="B29" s="22" t="s">
        <v>87</v>
      </c>
      <c r="D29" s="28">
        <f>Financials!C44</f>
        <v>-5</v>
      </c>
      <c r="E29" s="28">
        <f>Financials!D44</f>
        <v>4</v>
      </c>
      <c r="F29" s="28">
        <f>Financials!E44</f>
        <v>3</v>
      </c>
      <c r="H29" s="29">
        <v>3</v>
      </c>
      <c r="I29" s="29">
        <v>3</v>
      </c>
      <c r="J29" s="29">
        <v>0</v>
      </c>
      <c r="K29" s="29">
        <v>0</v>
      </c>
      <c r="L29" s="29">
        <v>0</v>
      </c>
    </row>
    <row r="30" spans="2:12" x14ac:dyDescent="0.2">
      <c r="B30" s="22" t="s">
        <v>88</v>
      </c>
      <c r="E30" s="26">
        <f>Financials!D22/((Financials!C83+Financials!D83)/2)</f>
        <v>6.3157894736842107E-2</v>
      </c>
      <c r="F30" s="26">
        <f>Financials!E22/((Financials!D83+Financials!E83)/2)</f>
        <v>6.5882352941176475E-2</v>
      </c>
      <c r="H30" s="27">
        <v>6.5000000000000002E-2</v>
      </c>
      <c r="I30" s="27">
        <v>6.5000000000000002E-2</v>
      </c>
      <c r="J30" s="27">
        <v>6.5000000000000002E-2</v>
      </c>
      <c r="K30" s="27">
        <v>6.5000000000000002E-2</v>
      </c>
      <c r="L30" s="27">
        <v>6.5000000000000002E-2</v>
      </c>
    </row>
    <row r="31" spans="2:12" x14ac:dyDescent="0.2">
      <c r="B31" s="22" t="s">
        <v>89</v>
      </c>
      <c r="D31" s="30">
        <f>-Financials!C49</f>
        <v>25</v>
      </c>
      <c r="E31" s="30">
        <f>-Financials!D49</f>
        <v>25</v>
      </c>
      <c r="F31" s="30">
        <f>-Financials!E49</f>
        <v>25</v>
      </c>
      <c r="H31" s="31">
        <v>25</v>
      </c>
      <c r="I31" s="31">
        <v>25</v>
      </c>
      <c r="J31" s="31">
        <v>25</v>
      </c>
      <c r="K31" s="31">
        <v>25</v>
      </c>
      <c r="L31" s="31">
        <v>25</v>
      </c>
    </row>
    <row r="32" spans="2:12" x14ac:dyDescent="0.2">
      <c r="B32" s="22" t="s">
        <v>90</v>
      </c>
      <c r="D32" s="28">
        <f>Financials!C48</f>
        <v>0</v>
      </c>
      <c r="E32" s="28">
        <f>Financials!D48</f>
        <v>0</v>
      </c>
      <c r="F32" s="28">
        <f>Financials!E48</f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</row>
    <row r="33" spans="2:12" x14ac:dyDescent="0.2">
      <c r="B33" s="22" t="s">
        <v>91</v>
      </c>
      <c r="D33" s="28">
        <f>Financials!C50</f>
        <v>0</v>
      </c>
      <c r="E33" s="28">
        <f>Financials!D50</f>
        <v>0</v>
      </c>
      <c r="F33" s="28">
        <f>Financials!E50</f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</row>
    <row r="34" spans="2:12" x14ac:dyDescent="0.2">
      <c r="B34" s="22" t="s">
        <v>92</v>
      </c>
      <c r="D34" s="30">
        <f>-Financials!C51</f>
        <v>2.8</v>
      </c>
      <c r="E34" s="30">
        <f>-Financials!D51</f>
        <v>4.7</v>
      </c>
      <c r="F34" s="30">
        <f>-Financials!E51</f>
        <v>2.4</v>
      </c>
      <c r="H34" s="31">
        <v>3</v>
      </c>
      <c r="I34" s="31">
        <v>3</v>
      </c>
      <c r="J34" s="31">
        <v>3.5</v>
      </c>
      <c r="K34" s="31">
        <v>3.5</v>
      </c>
      <c r="L34" s="31">
        <v>4</v>
      </c>
    </row>
    <row r="35" spans="2:12" x14ac:dyDescent="0.2">
      <c r="B35" s="22" t="s">
        <v>93</v>
      </c>
      <c r="D35" s="30">
        <f>Financials!C71</f>
        <v>19</v>
      </c>
      <c r="E35" s="30">
        <f>Financials!D71</f>
        <v>15</v>
      </c>
      <c r="F35" s="30">
        <f>Financials!E71</f>
        <v>12</v>
      </c>
      <c r="H35" s="31">
        <v>9</v>
      </c>
      <c r="I35" s="31">
        <v>6</v>
      </c>
      <c r="J35" s="31">
        <v>6</v>
      </c>
      <c r="K35" s="31">
        <v>6</v>
      </c>
      <c r="L35" s="3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13A9-4F5E-431F-AD00-F1CE96E11F31}">
  <dimension ref="A1:F2"/>
  <sheetViews>
    <sheetView workbookViewId="0"/>
  </sheetViews>
  <sheetFormatPr baseColWidth="10" defaultColWidth="8.83203125" defaultRowHeight="15" x14ac:dyDescent="0.2"/>
  <cols>
    <col min="1" max="6" width="47.5" customWidth="1"/>
  </cols>
  <sheetData>
    <row r="1" spans="1:6" x14ac:dyDescent="0.2">
      <c r="A1" s="40" t="s">
        <v>94</v>
      </c>
      <c r="B1" s="40" t="s">
        <v>95</v>
      </c>
      <c r="C1" s="40" t="s">
        <v>96</v>
      </c>
      <c r="D1" s="40" t="s">
        <v>97</v>
      </c>
      <c r="E1" s="40" t="s">
        <v>98</v>
      </c>
      <c r="F1" s="40" t="s">
        <v>99</v>
      </c>
    </row>
    <row r="2" spans="1:6" x14ac:dyDescent="0.2">
      <c r="A2" s="22">
        <v>1</v>
      </c>
      <c r="B2" s="41">
        <v>46062</v>
      </c>
      <c r="C2" s="22" t="s">
        <v>100</v>
      </c>
      <c r="D2" s="22" t="s">
        <v>101</v>
      </c>
      <c r="E2" s="22" t="s">
        <v>102</v>
      </c>
      <c r="F2" s="2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Financials</vt:lpstr>
      <vt:lpstr>Assumptions</vt:lpstr>
      <vt:lpstr>Claude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Ingraham</dc:creator>
  <cp:keywords/>
  <dc:description/>
  <cp:lastModifiedBy>David Ingraham</cp:lastModifiedBy>
  <cp:revision/>
  <dcterms:created xsi:type="dcterms:W3CDTF">2026-02-05T23:40:38Z</dcterms:created>
  <dcterms:modified xsi:type="dcterms:W3CDTF">2026-02-10T04:06:47Z</dcterms:modified>
  <cp:category/>
  <cp:contentStatus/>
</cp:coreProperties>
</file>
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ingraham/Desktop/"/>
    </mc:Choice>
  </mc:AlternateContent>
  <xr:revisionPtr revIDLastSave="0" documentId="13_ncr:1_{AA99D783-5B0B-BE4C-96CE-4D1D5C42205C}" xr6:coauthVersionLast="47" xr6:coauthVersionMax="47" xr10:uidLastSave="{00000000-0000-0000-0000-000000000000}"/>
  <bookViews>
    <workbookView xWindow="-29400" yWindow="5660" windowWidth="29400" windowHeight="18460" xr2:uid="{F40DE117-81A4-2645-A9FD-5FBD92333832}"/>
  </bookViews>
  <sheets>
    <sheet name="Financials" sheetId="2" r:id="rId1"/>
  </sheet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4" i="2" l="1"/>
  <c r="D94" i="2"/>
  <c r="E94" i="2"/>
  <c r="F94" i="2"/>
  <c r="G94" i="2"/>
  <c r="H94" i="2"/>
  <c r="I94" i="2"/>
  <c r="J94" i="2"/>
  <c r="F44" i="2"/>
  <c r="G44" i="2"/>
  <c r="G45" i="2" s="1"/>
  <c r="H44" i="2"/>
  <c r="I44" i="2"/>
  <c r="J44" i="2"/>
  <c r="G88" i="2"/>
  <c r="H88" i="2" s="1"/>
  <c r="J79" i="2"/>
  <c r="I79" i="2"/>
  <c r="H79" i="2"/>
  <c r="G79" i="2"/>
  <c r="G77" i="2"/>
  <c r="J71" i="2"/>
  <c r="I71" i="2"/>
  <c r="H71" i="2"/>
  <c r="G71" i="2"/>
  <c r="J67" i="2"/>
  <c r="I67" i="2"/>
  <c r="H67" i="2"/>
  <c r="G67" i="2"/>
  <c r="J66" i="2"/>
  <c r="I66" i="2"/>
  <c r="H66" i="2"/>
  <c r="G66" i="2"/>
  <c r="G64" i="2"/>
  <c r="J50" i="2"/>
  <c r="I50" i="2"/>
  <c r="H50" i="2"/>
  <c r="G50" i="2"/>
  <c r="J49" i="2"/>
  <c r="I49" i="2"/>
  <c r="H49" i="2"/>
  <c r="G49" i="2"/>
  <c r="J48" i="2"/>
  <c r="I48" i="2"/>
  <c r="H48" i="2"/>
  <c r="G48" i="2"/>
  <c r="J43" i="2"/>
  <c r="J45" i="2" s="1"/>
  <c r="I43" i="2"/>
  <c r="H43" i="2"/>
  <c r="G43" i="2"/>
  <c r="G37" i="2"/>
  <c r="G19" i="2"/>
  <c r="G70" i="2" s="1"/>
  <c r="J16" i="2"/>
  <c r="I16" i="2"/>
  <c r="H16" i="2"/>
  <c r="G16" i="2"/>
  <c r="G8" i="2"/>
  <c r="G9" i="2" s="1"/>
  <c r="G10" i="2" s="1"/>
  <c r="F8" i="2"/>
  <c r="F9" i="2" s="1"/>
  <c r="F10" i="2" s="1"/>
  <c r="F16" i="2"/>
  <c r="F19" i="2"/>
  <c r="F37" i="2" s="1"/>
  <c r="F22" i="2"/>
  <c r="F43" i="2"/>
  <c r="F45" i="2"/>
  <c r="F48" i="2"/>
  <c r="F49" i="2"/>
  <c r="F50" i="2"/>
  <c r="F55" i="2"/>
  <c r="F64" i="2"/>
  <c r="F66" i="2"/>
  <c r="F67" i="2"/>
  <c r="F70" i="2"/>
  <c r="F72" i="2" s="1"/>
  <c r="F71" i="2"/>
  <c r="F77" i="2"/>
  <c r="F79" i="2"/>
  <c r="F83" i="2"/>
  <c r="G83" i="2" s="1"/>
  <c r="H22" i="2" s="1"/>
  <c r="F88" i="2"/>
  <c r="D102" i="2"/>
  <c r="E102" i="2"/>
  <c r="C103" i="2"/>
  <c r="D103" i="2"/>
  <c r="E103" i="2"/>
  <c r="C106" i="2"/>
  <c r="D106" i="2"/>
  <c r="E106" i="2"/>
  <c r="C107" i="2"/>
  <c r="D107" i="2"/>
  <c r="E107" i="2"/>
  <c r="C108" i="2"/>
  <c r="D108" i="2"/>
  <c r="E108" i="2"/>
  <c r="D111" i="2"/>
  <c r="E111" i="2"/>
  <c r="C114" i="2"/>
  <c r="D114" i="2"/>
  <c r="E114" i="2"/>
  <c r="C115" i="2"/>
  <c r="D115" i="2"/>
  <c r="E115" i="2"/>
  <c r="C116" i="2"/>
  <c r="D116" i="2"/>
  <c r="E116" i="2"/>
  <c r="C117" i="2"/>
  <c r="D117" i="2"/>
  <c r="E117" i="2"/>
  <c r="C118" i="2"/>
  <c r="D118" i="2"/>
  <c r="E118" i="2"/>
  <c r="C119" i="2"/>
  <c r="D119" i="2"/>
  <c r="E119" i="2"/>
  <c r="D122" i="2"/>
  <c r="E122" i="2"/>
  <c r="C123" i="2"/>
  <c r="D123" i="2"/>
  <c r="E123" i="2"/>
  <c r="C124" i="2"/>
  <c r="D124" i="2"/>
  <c r="E124" i="2"/>
  <c r="C127" i="2"/>
  <c r="D127" i="2"/>
  <c r="E127" i="2"/>
  <c r="C128" i="2"/>
  <c r="D128" i="2"/>
  <c r="E128" i="2"/>
  <c r="C131" i="2"/>
  <c r="D131" i="2"/>
  <c r="E131" i="2"/>
  <c r="C132" i="2"/>
  <c r="D132" i="2"/>
  <c r="E132" i="2"/>
  <c r="C133" i="2"/>
  <c r="D133" i="2"/>
  <c r="E133" i="2"/>
  <c r="C136" i="2"/>
  <c r="D136" i="2"/>
  <c r="E136" i="2"/>
  <c r="C137" i="2"/>
  <c r="D137" i="2"/>
  <c r="E137" i="2"/>
  <c r="H45" i="2" l="1"/>
  <c r="I45" i="2"/>
  <c r="G22" i="2"/>
  <c r="H19" i="2"/>
  <c r="H37" i="2" s="1"/>
  <c r="G72" i="2"/>
  <c r="G12" i="2"/>
  <c r="G13" i="2"/>
  <c r="I88" i="2"/>
  <c r="H77" i="2"/>
  <c r="H83" i="2"/>
  <c r="H8" i="2"/>
  <c r="F12" i="2"/>
  <c r="F13" i="2"/>
  <c r="H9" i="2" l="1"/>
  <c r="H64" i="2"/>
  <c r="I8" i="2"/>
  <c r="H10" i="2"/>
  <c r="I22" i="2"/>
  <c r="I83" i="2"/>
  <c r="I77" i="2"/>
  <c r="G78" i="2"/>
  <c r="G80" i="2" s="1"/>
  <c r="G65" i="2"/>
  <c r="G39" i="2" s="1"/>
  <c r="G14" i="2"/>
  <c r="G17" i="2" s="1"/>
  <c r="G20" i="2" s="1"/>
  <c r="G23" i="2" s="1"/>
  <c r="J88" i="2"/>
  <c r="H70" i="2"/>
  <c r="F78" i="2"/>
  <c r="F80" i="2" s="1"/>
  <c r="F65" i="2"/>
  <c r="F39" i="2" s="1"/>
  <c r="F14" i="2"/>
  <c r="F17" i="2" s="1"/>
  <c r="F20" i="2" s="1"/>
  <c r="F23" i="2" s="1"/>
  <c r="J77" i="2" l="1"/>
  <c r="J22" i="2"/>
  <c r="J83" i="2"/>
  <c r="I19" i="2"/>
  <c r="I37" i="2" s="1"/>
  <c r="H72" i="2"/>
  <c r="I64" i="2"/>
  <c r="J8" i="2"/>
  <c r="I9" i="2"/>
  <c r="I10" i="2" s="1"/>
  <c r="H12" i="2"/>
  <c r="H13" i="2"/>
  <c r="G26" i="2"/>
  <c r="G25" i="2"/>
  <c r="G27" i="2" s="1"/>
  <c r="G29" i="2" s="1"/>
  <c r="F25" i="2"/>
  <c r="F26" i="2"/>
  <c r="I12" i="2" l="1"/>
  <c r="I13" i="2"/>
  <c r="G36" i="2"/>
  <c r="G51" i="2"/>
  <c r="G52" i="2" s="1"/>
  <c r="I70" i="2"/>
  <c r="J64" i="2"/>
  <c r="J9" i="2"/>
  <c r="J10" i="2"/>
  <c r="G82" i="2"/>
  <c r="G38" i="2"/>
  <c r="H65" i="2"/>
  <c r="H78" i="2"/>
  <c r="H80" i="2" s="1"/>
  <c r="H14" i="2"/>
  <c r="H17" i="2" s="1"/>
  <c r="H20" i="2" s="1"/>
  <c r="H23" i="2" s="1"/>
  <c r="F38" i="2"/>
  <c r="F82" i="2"/>
  <c r="F84" i="2" s="1"/>
  <c r="F86" i="2" s="1"/>
  <c r="F27" i="2"/>
  <c r="F29" i="2" s="1"/>
  <c r="G40" i="2" l="1"/>
  <c r="J19" i="2"/>
  <c r="J37" i="2" s="1"/>
  <c r="I72" i="2"/>
  <c r="H39" i="2"/>
  <c r="G84" i="2"/>
  <c r="G86" i="2" s="1"/>
  <c r="H26" i="2"/>
  <c r="H38" i="2" s="1"/>
  <c r="H25" i="2"/>
  <c r="H27" i="2" s="1"/>
  <c r="H29" i="2" s="1"/>
  <c r="G54" i="2"/>
  <c r="G89" i="2"/>
  <c r="J12" i="2"/>
  <c r="J13" i="2"/>
  <c r="I14" i="2"/>
  <c r="I17" i="2" s="1"/>
  <c r="I20" i="2" s="1"/>
  <c r="I23" i="2" s="1"/>
  <c r="I78" i="2"/>
  <c r="I80" i="2" s="1"/>
  <c r="I65" i="2"/>
  <c r="I39" i="2" s="1"/>
  <c r="F36" i="2"/>
  <c r="F40" i="2" s="1"/>
  <c r="F51" i="2"/>
  <c r="F52" i="2" s="1"/>
  <c r="H36" i="2" l="1"/>
  <c r="H40" i="2" s="1"/>
  <c r="H51" i="2"/>
  <c r="H52" i="2" s="1"/>
  <c r="I26" i="2"/>
  <c r="I38" i="2" s="1"/>
  <c r="I25" i="2"/>
  <c r="I27" i="2" s="1"/>
  <c r="I29" i="2" s="1"/>
  <c r="H89" i="2"/>
  <c r="G90" i="2"/>
  <c r="J70" i="2"/>
  <c r="J72" i="2" s="1"/>
  <c r="G92" i="2"/>
  <c r="H82" i="2"/>
  <c r="J78" i="2"/>
  <c r="J80" i="2" s="1"/>
  <c r="J14" i="2"/>
  <c r="J17" i="2" s="1"/>
  <c r="J20" i="2" s="1"/>
  <c r="J23" i="2" s="1"/>
  <c r="J65" i="2"/>
  <c r="J39" i="2" s="1"/>
  <c r="F54" i="2"/>
  <c r="F56" i="2" s="1"/>
  <c r="F89" i="2"/>
  <c r="F90" i="2" s="1"/>
  <c r="F92" i="2" s="1"/>
  <c r="F63" i="2" l="1"/>
  <c r="F68" i="2" s="1"/>
  <c r="F74" i="2" s="1"/>
  <c r="G55" i="2"/>
  <c r="G56" i="2" s="1"/>
  <c r="I36" i="2"/>
  <c r="I40" i="2" s="1"/>
  <c r="I51" i="2"/>
  <c r="I52" i="2" s="1"/>
  <c r="H90" i="2"/>
  <c r="J26" i="2"/>
  <c r="J38" i="2" s="1"/>
  <c r="J25" i="2"/>
  <c r="J27" i="2" s="1"/>
  <c r="J29" i="2" s="1"/>
  <c r="H84" i="2"/>
  <c r="H86" i="2" s="1"/>
  <c r="H92" i="2" s="1"/>
  <c r="I82" i="2"/>
  <c r="H54" i="2"/>
  <c r="H55" i="2" l="1"/>
  <c r="H56" i="2" s="1"/>
  <c r="G63" i="2"/>
  <c r="G68" i="2" s="1"/>
  <c r="G74" i="2" s="1"/>
  <c r="J51" i="2"/>
  <c r="J52" i="2" s="1"/>
  <c r="J36" i="2"/>
  <c r="J40" i="2" s="1"/>
  <c r="I55" i="2"/>
  <c r="H63" i="2"/>
  <c r="H68" i="2" s="1"/>
  <c r="H74" i="2" s="1"/>
  <c r="I89" i="2"/>
  <c r="J82" i="2"/>
  <c r="J84" i="2" s="1"/>
  <c r="J86" i="2" s="1"/>
  <c r="I84" i="2"/>
  <c r="I86" i="2" s="1"/>
  <c r="I54" i="2"/>
  <c r="J89" i="2" l="1"/>
  <c r="J90" i="2" s="1"/>
  <c r="J92" i="2" s="1"/>
  <c r="I90" i="2"/>
  <c r="I92" i="2" s="1"/>
  <c r="I56" i="2"/>
  <c r="J54" i="2"/>
  <c r="J55" i="2" l="1"/>
  <c r="J56" i="2" s="1"/>
  <c r="J63" i="2" s="1"/>
  <c r="J68" i="2" s="1"/>
  <c r="J74" i="2" s="1"/>
  <c r="I63" i="2"/>
  <c r="I68" i="2" s="1"/>
  <c r="I74" i="2" s="1"/>
  <c r="C68" i="2" l="1"/>
  <c r="D68" i="2"/>
  <c r="E68" i="2"/>
  <c r="C72" i="2"/>
  <c r="D72" i="2"/>
  <c r="E72" i="2"/>
  <c r="C80" i="2"/>
  <c r="D80" i="2"/>
  <c r="E80" i="2"/>
  <c r="E86" i="2" s="1"/>
  <c r="E92" i="2" s="1"/>
  <c r="C84" i="2"/>
  <c r="D84" i="2"/>
  <c r="E84" i="2"/>
  <c r="C90" i="2"/>
  <c r="D90" i="2"/>
  <c r="E90" i="2"/>
  <c r="C40" i="2"/>
  <c r="D40" i="2"/>
  <c r="E40" i="2"/>
  <c r="C45" i="2"/>
  <c r="D45" i="2"/>
  <c r="E45" i="2"/>
  <c r="C52" i="2"/>
  <c r="D52" i="2"/>
  <c r="E52" i="2"/>
  <c r="C10" i="2"/>
  <c r="C17" i="2" s="1"/>
  <c r="C20" i="2" s="1"/>
  <c r="C23" i="2" s="1"/>
  <c r="D10" i="2"/>
  <c r="E10" i="2"/>
  <c r="C14" i="2"/>
  <c r="D14" i="2"/>
  <c r="E14" i="2"/>
  <c r="C27" i="2"/>
  <c r="D27" i="2"/>
  <c r="E27" i="2"/>
  <c r="E54" i="2" l="1"/>
  <c r="E56" i="2" s="1"/>
  <c r="D74" i="2"/>
  <c r="C74" i="2"/>
  <c r="C29" i="2"/>
  <c r="D86" i="2"/>
  <c r="D92" i="2" s="1"/>
  <c r="C54" i="2"/>
  <c r="C56" i="2" s="1"/>
  <c r="C86" i="2"/>
  <c r="C92" i="2" s="1"/>
  <c r="E74" i="2"/>
  <c r="D17" i="2"/>
  <c r="D20" i="2" s="1"/>
  <c r="D23" i="2" s="1"/>
  <c r="D29" i="2" s="1"/>
  <c r="D54" i="2"/>
  <c r="D56" i="2" s="1"/>
  <c r="E17" i="2"/>
  <c r="E20" i="2" s="1"/>
  <c r="E23" i="2" s="1"/>
  <c r="E29" i="2" s="1"/>
</calcChain>
</file>

<file path=xl/sharedStrings.xml><?xml version="1.0" encoding="utf-8"?>
<sst xmlns="http://schemas.openxmlformats.org/spreadsheetml/2006/main" count="129" uniqueCount="96">
  <si>
    <t>F2022A</t>
  </si>
  <si>
    <t>F2023A</t>
  </si>
  <si>
    <t>F2024A</t>
  </si>
  <si>
    <t>Gross Revenue</t>
  </si>
  <si>
    <t>Freight &amp; Warehousing</t>
  </si>
  <si>
    <t>Net Revenue</t>
  </si>
  <si>
    <t>Cost of Sales</t>
  </si>
  <si>
    <t>SG&amp;A</t>
  </si>
  <si>
    <t>Total Costs</t>
  </si>
  <si>
    <t>Cost Adjustments - Gain/(Loss)</t>
  </si>
  <si>
    <t>EBITDA</t>
  </si>
  <si>
    <t>Depreciation</t>
  </si>
  <si>
    <t>EBIT</t>
  </si>
  <si>
    <t>Interest Expense</t>
  </si>
  <si>
    <t>EBT</t>
  </si>
  <si>
    <t>Current Taxes</t>
  </si>
  <si>
    <t>Deferred Income Taxes</t>
  </si>
  <si>
    <t>Total Income Taxes</t>
  </si>
  <si>
    <t>Net Income to Common</t>
  </si>
  <si>
    <t>Henderson Manufacturing</t>
  </si>
  <si>
    <t>Income Statement</t>
  </si>
  <si>
    <t>($ Millions)</t>
  </si>
  <si>
    <t>Accounts Receivable</t>
  </si>
  <si>
    <t>Inventory</t>
  </si>
  <si>
    <t>Prepaid Expenses</t>
  </si>
  <si>
    <t>Total Current Assets</t>
  </si>
  <si>
    <t>Total Assets</t>
  </si>
  <si>
    <t>Accounts Payable</t>
  </si>
  <si>
    <t>Total Current Liabilities</t>
  </si>
  <si>
    <t>Total Liabilities</t>
  </si>
  <si>
    <t>Retained Earnings</t>
  </si>
  <si>
    <t>Balance Sheet</t>
  </si>
  <si>
    <t>Cash Flow Statement</t>
  </si>
  <si>
    <t>Operating Activities</t>
  </si>
  <si>
    <t>Net Income</t>
  </si>
  <si>
    <t>Changes in Working Capital</t>
  </si>
  <si>
    <t>Operating Cash Flow</t>
  </si>
  <si>
    <t>Investing Activities</t>
  </si>
  <si>
    <t>CAPEX</t>
  </si>
  <si>
    <t>Other</t>
  </si>
  <si>
    <t>Investing Cash Flow</t>
  </si>
  <si>
    <t>Financing Activities</t>
  </si>
  <si>
    <t>Revolver Issuance / (Repayment)</t>
  </si>
  <si>
    <t>Total Term Debt Issuance / (Repayment)</t>
  </si>
  <si>
    <t>Common Shares Issuance/ (Buy-Back)</t>
  </si>
  <si>
    <t>Common Dividends</t>
  </si>
  <si>
    <t>Financing Cash Flow</t>
  </si>
  <si>
    <t>Change in Cash Position</t>
  </si>
  <si>
    <t>Beginning Cash</t>
  </si>
  <si>
    <t>Ending Cash</t>
  </si>
  <si>
    <t>ASSETS</t>
  </si>
  <si>
    <t>Cash and Equivalents</t>
  </si>
  <si>
    <t>Net PP&amp;E</t>
  </si>
  <si>
    <t>Total Long Term Assets</t>
  </si>
  <si>
    <t>LIABILITIES AND EQUITY</t>
  </si>
  <si>
    <t>Bank Debt - Revolver</t>
  </si>
  <si>
    <t>Senior Secured Term Debt</t>
  </si>
  <si>
    <t>Total Long Term Liabilities</t>
  </si>
  <si>
    <t>Common Shares</t>
  </si>
  <si>
    <t>Shareholder's Equity</t>
  </si>
  <si>
    <t>Total Liabilities and Equity</t>
  </si>
  <si>
    <t>F2025E</t>
  </si>
  <si>
    <t>F2026E</t>
  </si>
  <si>
    <t>F2027E</t>
  </si>
  <si>
    <t>F2028E</t>
  </si>
  <si>
    <t>F2029E</t>
  </si>
  <si>
    <t>Gross Revenue Growth %</t>
  </si>
  <si>
    <t>SG&amp;A % of Net Revenue</t>
  </si>
  <si>
    <t>Effective Tax Rate</t>
  </si>
  <si>
    <t>Deferred Tax % of Total Tax</t>
  </si>
  <si>
    <t>Interest Rate on Term Debt</t>
  </si>
  <si>
    <t>Dividend Payout Ratio</t>
  </si>
  <si>
    <t>Revolver Draw / (Repayment)</t>
  </si>
  <si>
    <t>Assumptions &amp; Schedules</t>
  </si>
  <si>
    <t>REVENUE BUILD</t>
  </si>
  <si>
    <t>Freight &amp; Whsg % of Gross Rev</t>
  </si>
  <si>
    <t>COST STRUCTURE</t>
  </si>
  <si>
    <t>COGS % of Net Revenue</t>
  </si>
  <si>
    <t>Cost Adjustments</t>
  </si>
  <si>
    <t>DEPRECIATION</t>
  </si>
  <si>
    <t>Depr. % of Beg Net PP&amp;E</t>
  </si>
  <si>
    <t>WORKING CAPITAL DRIVERS</t>
  </si>
  <si>
    <t>AR Days (on Gross Revenue)</t>
  </si>
  <si>
    <t>Inventory Days (on COGS)</t>
  </si>
  <si>
    <t>AP Days (on COGS)</t>
  </si>
  <si>
    <t>Other Current Assets</t>
  </si>
  <si>
    <t>Other Current Liabilities</t>
  </si>
  <si>
    <t>DEBT &amp; INTEREST</t>
  </si>
  <si>
    <t>Term Debt Repayment</t>
  </si>
  <si>
    <t>TAX SCHEDULE</t>
  </si>
  <si>
    <t>CAPEX &amp; OTHER</t>
  </si>
  <si>
    <t>Other Investing</t>
  </si>
  <si>
    <t>Other LT Assets</t>
  </si>
  <si>
    <t>EQUITY &amp; DIVIDENDS</t>
  </si>
  <si>
    <t>Share Issuance / (Buy-Back)</t>
  </si>
  <si>
    <t>Balance Check (TA - TL&amp;E)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</si>
</sst>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"/>
    <numFmt numFmtId="165" formatCode="&quot;$&quot;#,##0.0"/>
    <numFmt numFmtId="166" formatCode="#,##0.0;\(#,##0.0\)"/>
    <numFmt numFmtId="167" formatCode="&quot;$&quot;#,##0.0;\(&quot;$&quot;#,##0.0\)"/>
    <numFmt numFmtId="168" formatCode="0.0%"/>
    <numFmt numFmtId="169" formatCode="0.0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b/>
      <sz val="14"/>
      <color theme="1"/>
      <name val="Aptos Narrow"/>
      <scheme val="minor"/>
    </font>
    <font>
      <i/>
      <sz val="11"/>
      <color theme="1"/>
      <name val="Aptos Narrow"/>
      <scheme val="minor"/>
    </font>
    <font>
      <b/>
      <i/>
      <sz val="11"/>
      <color rgb="FF808080"/>
      <name val="Aptos Narrow"/>
      <family val="2"/>
      <scheme val="minor"/>
    </font>
    <font>
      <sz val="11"/>
      <color rgb="FF0070C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6E4F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1" fillId="0" borderId="1" xfId="0" applyFont="1" applyBorder="1"/>
    <xf numFmtId="164" fontId="1" fillId="0" borderId="0" xfId="0" applyNumberFormat="1" applyFont="1"/>
    <xf numFmtId="164" fontId="1" fillId="0" borderId="1" xfId="0" applyNumberFormat="1" applyFont="1" applyBorder="1"/>
    <xf numFmtId="164" fontId="0" fillId="0" borderId="0" xfId="0" applyNumberFormat="1"/>
    <xf numFmtId="0" fontId="1" fillId="0" borderId="2" xfId="0" applyFont="1" applyBorder="1"/>
    <xf numFmtId="165" fontId="1" fillId="0" borderId="2" xfId="0" applyNumberFormat="1" applyFont="1" applyBorder="1"/>
    <xf numFmtId="0" fontId="3" fillId="0" borderId="0" xfId="0" applyFont="1" applyAlignment="1">
      <alignment horizontal="center"/>
    </xf>
    <xf numFmtId="166" fontId="0" fillId="0" borderId="0" xfId="0" applyNumberFormat="1"/>
    <xf numFmtId="166" fontId="1" fillId="0" borderId="2" xfId="0" applyNumberFormat="1" applyFont="1" applyBorder="1"/>
    <xf numFmtId="164" fontId="3" fillId="0" borderId="0" xfId="0" applyNumberFormat="1" applyFont="1" applyAlignment="1">
      <alignment horizontal="center"/>
    </xf>
    <xf numFmtId="0" fontId="2" fillId="0" borderId="3" xfId="0" applyFont="1" applyBorder="1"/>
    <xf numFmtId="164" fontId="2" fillId="0" borderId="3" xfId="0" applyNumberFormat="1" applyFont="1" applyBorder="1"/>
    <xf numFmtId="166" fontId="3" fillId="0" borderId="0" xfId="0" applyNumberFormat="1" applyFont="1" applyAlignment="1">
      <alignment horizontal="center"/>
    </xf>
    <xf numFmtId="0" fontId="4" fillId="0" borderId="0" xfId="0" applyFont="1"/>
    <xf numFmtId="166" fontId="4" fillId="0" borderId="0" xfId="0" applyNumberFormat="1" applyFont="1"/>
    <xf numFmtId="0" fontId="0" fillId="0" borderId="0" xfId="0" applyAlignment="1">
      <alignment indent="1"/>
    </xf>
    <xf numFmtId="167" fontId="1" fillId="0" borderId="1" xfId="0" applyNumberFormat="1" applyFont="1" applyBorder="1"/>
    <xf numFmtId="164" fontId="5" fillId="0" borderId="0" xfId="0" applyNumberFormat="1" applyFont="1"/>
    <xf numFmtId="166" fontId="5" fillId="0" borderId="0" xfId="0" applyNumberFormat="1" applyFont="1"/>
    <xf numFmtId="165" fontId="0" fillId="0" borderId="0" xfId="0" applyNumberFormat="1"/>
    <xf numFmtId="0" fontId="6" fillId="0" borderId="0" xfId="0" applyFont="1"/>
    <xf numFmtId="164" fontId="6" fillId="0" borderId="0" xfId="0" applyNumberFormat="1" applyFont="1"/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3" xfId="0" applyFont="1" applyBorder="1"/>
    <xf numFmtId="0" fontId="9" fillId="0" borderId="3" xfId="0" applyFont="1" applyBorder="1" applyAlignment="1">
      <alignment horizontal="center"/>
    </xf>
    <xf numFmtId="0" fontId="7" fillId="2" borderId="4" xfId="0" applyFont="1" applyFill="1" applyBorder="1"/>
    <xf numFmtId="0" fontId="7" fillId="2" borderId="4" xfId="0" applyFont="1" applyFill="1" applyBorder="1" applyAlignment="1">
      <alignment horizontal="center"/>
    </xf>
    <xf numFmtId="164" fontId="7" fillId="0" borderId="1" xfId="0" applyNumberFormat="1" applyFont="1" applyBorder="1"/>
    <xf numFmtId="164" fontId="7" fillId="0" borderId="2" xfId="0" applyNumberFormat="1" applyFont="1" applyBorder="1"/>
    <xf numFmtId="169" fontId="10" fillId="0" borderId="0" xfId="0" applyNumberFormat="1" applyFont="1"/>
    <xf numFmtId="168" fontId="6" fillId="0" borderId="0" xfId="0" applyNumberFormat="1" applyFont="1" applyAlignment="1">
      <alignment horizontal="center"/>
    </xf>
    <xf numFmtId="169" fontId="6" fillId="0" borderId="0" xfId="0" applyNumberFormat="1" applyFont="1" applyAlignment="1">
      <alignment horizontal="center"/>
    </xf>
    <xf numFmtId="168" fontId="11" fillId="0" borderId="0" xfId="0" applyNumberFormat="1" applyFont="1" applyAlignment="1">
      <alignment horizontal="center"/>
    </xf>
    <xf numFmtId="168" fontId="11" fillId="0" borderId="0" xfId="0" applyNumberFormat="1" applyFont="1"/>
    <xf numFmtId="164" fontId="11" fillId="0" borderId="0" xfId="0" applyNumberFormat="1" applyFont="1" applyAlignment="1">
      <alignment horizontal="center"/>
    </xf>
    <xf numFmtId="164" fontId="11" fillId="0" borderId="0" xfId="0" applyNumberFormat="1" applyFont="1"/>
    <xf numFmtId="169" fontId="11" fillId="0" borderId="0" xfId="0" applyNumberFormat="1" applyFont="1" applyAlignment="1">
      <alignment horizontal="center"/>
    </xf>
    <xf numFmtId="169" fontId="1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7D0E1D28-FF9A-FD45-A4BA-F0034EFA2F42}">
  <we:reference id="wa200008526" version="2.0.0.0" store="en-US" storeType="OMEX"/>
  <we:alternateReferences>
    <we:reference id="wa200008526" version="2.0.0.0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215657B9-5F3C-3149-AA3C-4242EBBD0F08}">
  <we:reference id="bd8956c2-c5bd-41f6-974b-d99ccca36212" version="2.0.0.0" store="developer" storeType="Registry"/>
  <we:alternateReferences/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3817A-DC42-A244-89D8-C30A434496C6}">
  <dimension ref="B2:J137"/>
  <sheetViews>
    <sheetView tabSelected="1" topLeftCell="A57" workbookViewId="0">
      <selection activeCell="D125" sqref="D125"/>
    </sheetView>
  </sheetViews>
  <sheetFormatPr baseColWidth="10" defaultRowHeight="15" x14ac:dyDescent="0.2"/>
  <cols>
    <col min="2" max="2" width="31.83203125" bestFit="1" customWidth="1"/>
    <col min="3" max="5" width="8.33203125" bestFit="1" customWidth="1"/>
    <col min="6" max="10" width="15.1640625" customWidth="1"/>
  </cols>
  <sheetData>
    <row r="2" spans="2:10" ht="19" x14ac:dyDescent="0.25">
      <c r="C2" s="8" t="s">
        <v>0</v>
      </c>
      <c r="D2" s="8" t="s">
        <v>1</v>
      </c>
      <c r="E2" s="8" t="s">
        <v>2</v>
      </c>
      <c r="F2" t="s">
        <v>61</v>
      </c>
      <c r="G2" t="s">
        <v>62</v>
      </c>
      <c r="H2" t="s">
        <v>63</v>
      </c>
      <c r="I2" t="s">
        <v>64</v>
      </c>
      <c r="J2" t="s">
        <v>65</v>
      </c>
    </row>
    <row r="3" spans="2:10" ht="19" x14ac:dyDescent="0.25">
      <c r="B3" s="8" t="s">
        <v>19</v>
      </c>
      <c r="C3" s="11"/>
      <c r="D3" s="11"/>
      <c r="E3" s="11"/>
    </row>
    <row r="4" spans="2:10" ht="19" x14ac:dyDescent="0.25">
      <c r="B4" s="8" t="s">
        <v>20</v>
      </c>
      <c r="C4" s="11"/>
      <c r="D4" s="11"/>
      <c r="E4" s="11"/>
    </row>
    <row r="5" spans="2:10" x14ac:dyDescent="0.2">
      <c r="C5" s="5"/>
      <c r="D5" s="5"/>
      <c r="E5" s="5"/>
    </row>
    <row r="6" spans="2:10" ht="16" thickBot="1" x14ac:dyDescent="0.25">
      <c r="B6" s="12" t="s">
        <v>21</v>
      </c>
      <c r="C6" s="13"/>
      <c r="D6" s="13"/>
      <c r="E6" s="13"/>
    </row>
    <row r="7" spans="2:10" x14ac:dyDescent="0.2">
      <c r="C7" s="5"/>
      <c r="D7" s="5"/>
      <c r="E7" s="5"/>
    </row>
    <row r="8" spans="2:10" x14ac:dyDescent="0.2">
      <c r="B8" t="s">
        <v>3</v>
      </c>
      <c r="C8" s="19">
        <v>244.8</v>
      </c>
      <c r="D8" s="19">
        <v>269.3</v>
      </c>
      <c r="E8" s="19">
        <v>239.2</v>
      </c>
      <c r="F8" s="23">
        <f>E8*(1+F102)</f>
        <v>246.376</v>
      </c>
      <c r="G8" s="23">
        <f t="shared" ref="G8:J8" si="0">F8*(1+G102)</f>
        <v>258.69480000000004</v>
      </c>
      <c r="H8" s="23">
        <f t="shared" si="0"/>
        <v>269.04259200000007</v>
      </c>
      <c r="I8" s="23">
        <f t="shared" si="0"/>
        <v>279.80429568000011</v>
      </c>
      <c r="J8" s="23">
        <f t="shared" si="0"/>
        <v>289.59744602880011</v>
      </c>
    </row>
    <row r="9" spans="2:10" x14ac:dyDescent="0.2">
      <c r="B9" t="s">
        <v>4</v>
      </c>
      <c r="C9" s="19">
        <v>31.3</v>
      </c>
      <c r="D9" s="19">
        <v>32.700000000000003</v>
      </c>
      <c r="E9" s="19">
        <v>34.4</v>
      </c>
      <c r="F9" s="23">
        <f>F8*F103</f>
        <v>34.492640000000002</v>
      </c>
      <c r="G9" s="23">
        <f t="shared" ref="G9:J9" si="1">G8*G103</f>
        <v>36.217272000000008</v>
      </c>
      <c r="H9" s="23">
        <f t="shared" si="1"/>
        <v>36.320749920000011</v>
      </c>
      <c r="I9" s="23">
        <f t="shared" si="1"/>
        <v>37.773579916800017</v>
      </c>
      <c r="J9" s="23">
        <f t="shared" si="1"/>
        <v>37.647667983744014</v>
      </c>
    </row>
    <row r="10" spans="2:10" x14ac:dyDescent="0.2">
      <c r="B10" s="2" t="s">
        <v>5</v>
      </c>
      <c r="C10" s="4">
        <f t="shared" ref="C10:E10" si="2">C8-C9</f>
        <v>213.5</v>
      </c>
      <c r="D10" s="4">
        <f t="shared" si="2"/>
        <v>236.60000000000002</v>
      </c>
      <c r="E10" s="4">
        <f t="shared" si="2"/>
        <v>204.79999999999998</v>
      </c>
      <c r="F10" s="32">
        <f>F8-F9</f>
        <v>211.88336000000001</v>
      </c>
      <c r="G10" s="32">
        <f t="shared" ref="G10:J10" si="3">G8-G9</f>
        <v>222.47752800000004</v>
      </c>
      <c r="H10" s="32">
        <f t="shared" si="3"/>
        <v>232.72184208000004</v>
      </c>
      <c r="I10" s="32">
        <f t="shared" si="3"/>
        <v>242.03071576320008</v>
      </c>
      <c r="J10" s="32">
        <f t="shared" si="3"/>
        <v>251.94977804505609</v>
      </c>
    </row>
    <row r="11" spans="2:10" x14ac:dyDescent="0.2">
      <c r="C11" s="5"/>
      <c r="D11" s="5"/>
      <c r="E11" s="5"/>
      <c r="F11" s="23"/>
      <c r="G11" s="23"/>
      <c r="H11" s="23"/>
      <c r="I11" s="23"/>
      <c r="J11" s="23"/>
    </row>
    <row r="12" spans="2:10" x14ac:dyDescent="0.2">
      <c r="B12" t="s">
        <v>6</v>
      </c>
      <c r="C12" s="19">
        <v>159.9</v>
      </c>
      <c r="D12" s="19">
        <v>164.6</v>
      </c>
      <c r="E12" s="19">
        <v>167.9</v>
      </c>
      <c r="F12" s="23">
        <f>F10*F106</f>
        <v>165.26902080000002</v>
      </c>
      <c r="G12" s="23">
        <f t="shared" ref="G12:J12" si="4">G10*G106</f>
        <v>171.30769656000004</v>
      </c>
      <c r="H12" s="23">
        <f t="shared" si="4"/>
        <v>176.86859998080004</v>
      </c>
      <c r="I12" s="23">
        <f t="shared" si="4"/>
        <v>181.52303682240006</v>
      </c>
      <c r="J12" s="23">
        <f t="shared" si="4"/>
        <v>186.44283575334151</v>
      </c>
    </row>
    <row r="13" spans="2:10" x14ac:dyDescent="0.2">
      <c r="B13" t="s">
        <v>7</v>
      </c>
      <c r="C13" s="19">
        <v>3.4</v>
      </c>
      <c r="D13" s="19">
        <v>3.6</v>
      </c>
      <c r="E13" s="19">
        <v>3.8</v>
      </c>
      <c r="F13" s="23">
        <f>F10*F107</f>
        <v>3.3901337600000003</v>
      </c>
      <c r="G13" s="23">
        <f t="shared" ref="G13:J13" si="5">G10*G107</f>
        <v>3.5596404480000006</v>
      </c>
      <c r="H13" s="23">
        <f t="shared" si="5"/>
        <v>3.4908276312000006</v>
      </c>
      <c r="I13" s="23">
        <f t="shared" si="5"/>
        <v>3.630460736448001</v>
      </c>
      <c r="J13" s="23">
        <f t="shared" si="5"/>
        <v>3.7792466706758412</v>
      </c>
    </row>
    <row r="14" spans="2:10" x14ac:dyDescent="0.2">
      <c r="B14" s="2" t="s">
        <v>8</v>
      </c>
      <c r="C14" s="4">
        <f t="shared" ref="C14:E14" si="6">C12+C13</f>
        <v>163.30000000000001</v>
      </c>
      <c r="D14" s="4">
        <f t="shared" si="6"/>
        <v>168.2</v>
      </c>
      <c r="E14" s="4">
        <f t="shared" si="6"/>
        <v>171.70000000000002</v>
      </c>
      <c r="F14" s="32">
        <f>F12+F13</f>
        <v>168.65915456000002</v>
      </c>
      <c r="G14" s="32">
        <f t="shared" ref="G14:J14" si="7">G12+G13</f>
        <v>174.86733700800005</v>
      </c>
      <c r="H14" s="32">
        <f t="shared" si="7"/>
        <v>180.35942761200005</v>
      </c>
      <c r="I14" s="32">
        <f t="shared" si="7"/>
        <v>185.15349755884807</v>
      </c>
      <c r="J14" s="32">
        <f t="shared" si="7"/>
        <v>190.22208242401734</v>
      </c>
    </row>
    <row r="15" spans="2:10" x14ac:dyDescent="0.2">
      <c r="C15" s="5"/>
      <c r="D15" s="5"/>
      <c r="E15" s="5"/>
      <c r="F15" s="23"/>
      <c r="G15" s="23"/>
      <c r="H15" s="23"/>
      <c r="I15" s="23"/>
      <c r="J15" s="23"/>
    </row>
    <row r="16" spans="2:10" x14ac:dyDescent="0.2">
      <c r="B16" t="s">
        <v>9</v>
      </c>
      <c r="C16" s="19">
        <v>0</v>
      </c>
      <c r="D16" s="19">
        <v>0</v>
      </c>
      <c r="E16" s="19">
        <v>0</v>
      </c>
      <c r="F16" s="23">
        <f>F108</f>
        <v>0</v>
      </c>
      <c r="G16" s="23">
        <f t="shared" ref="G16:J16" si="8">G108</f>
        <v>0</v>
      </c>
      <c r="H16" s="23">
        <f t="shared" si="8"/>
        <v>0</v>
      </c>
      <c r="I16" s="23">
        <f t="shared" si="8"/>
        <v>0</v>
      </c>
      <c r="J16" s="23">
        <f t="shared" si="8"/>
        <v>0</v>
      </c>
    </row>
    <row r="17" spans="2:10" x14ac:dyDescent="0.2">
      <c r="B17" s="2" t="s">
        <v>10</v>
      </c>
      <c r="C17" s="4">
        <f t="shared" ref="C17:E17" si="9">C10-C14+C16</f>
        <v>50.199999999999989</v>
      </c>
      <c r="D17" s="4">
        <f t="shared" si="9"/>
        <v>68.400000000000034</v>
      </c>
      <c r="E17" s="4">
        <f t="shared" si="9"/>
        <v>33.099999999999966</v>
      </c>
      <c r="F17" s="32">
        <f>F10-F14+F16</f>
        <v>43.224205439999992</v>
      </c>
      <c r="G17" s="32">
        <f t="shared" ref="G17:J17" si="10">G10-G14+G16</f>
        <v>47.610190991999985</v>
      </c>
      <c r="H17" s="32">
        <f t="shared" si="10"/>
        <v>52.362414467999997</v>
      </c>
      <c r="I17" s="32">
        <f t="shared" si="10"/>
        <v>56.877218204352005</v>
      </c>
      <c r="J17" s="32">
        <f t="shared" si="10"/>
        <v>61.727695621038748</v>
      </c>
    </row>
    <row r="18" spans="2:10" x14ac:dyDescent="0.2">
      <c r="C18" s="5"/>
      <c r="D18" s="5"/>
      <c r="E18" s="5"/>
      <c r="F18" s="23"/>
      <c r="G18" s="23"/>
      <c r="H18" s="23"/>
      <c r="I18" s="23"/>
      <c r="J18" s="23"/>
    </row>
    <row r="19" spans="2:10" x14ac:dyDescent="0.2">
      <c r="B19" t="s">
        <v>11</v>
      </c>
      <c r="C19" s="19">
        <v>15.4</v>
      </c>
      <c r="D19" s="19">
        <v>15.5</v>
      </c>
      <c r="E19" s="19">
        <v>15.8</v>
      </c>
      <c r="F19" s="23">
        <f>E70*F111</f>
        <v>15.907999999999999</v>
      </c>
      <c r="G19" s="23">
        <f t="shared" ref="G19:J19" si="11">F70*G111</f>
        <v>15.911679999999999</v>
      </c>
      <c r="H19" s="23">
        <f t="shared" si="11"/>
        <v>15.9352128</v>
      </c>
      <c r="I19" s="23">
        <f t="shared" si="11"/>
        <v>15.977804288</v>
      </c>
      <c r="J19" s="23">
        <f t="shared" si="11"/>
        <v>16.03869211648</v>
      </c>
    </row>
    <row r="20" spans="2:10" x14ac:dyDescent="0.2">
      <c r="B20" s="2" t="s">
        <v>12</v>
      </c>
      <c r="C20" s="4">
        <f t="shared" ref="C20:E20" si="12">C17-C19</f>
        <v>34.79999999999999</v>
      </c>
      <c r="D20" s="4">
        <f t="shared" si="12"/>
        <v>52.900000000000034</v>
      </c>
      <c r="E20" s="4">
        <f t="shared" si="12"/>
        <v>17.299999999999965</v>
      </c>
      <c r="F20" s="32">
        <f>F17-F19</f>
        <v>27.31620543999999</v>
      </c>
      <c r="G20" s="32">
        <f t="shared" ref="G20:J20" si="13">G17-G19</f>
        <v>31.698510991999989</v>
      </c>
      <c r="H20" s="32">
        <f t="shared" si="13"/>
        <v>36.427201667999995</v>
      </c>
      <c r="I20" s="32">
        <f t="shared" si="13"/>
        <v>40.899413916352003</v>
      </c>
      <c r="J20" s="32">
        <f t="shared" si="13"/>
        <v>45.689003504558748</v>
      </c>
    </row>
    <row r="21" spans="2:10" x14ac:dyDescent="0.2">
      <c r="C21" s="5"/>
      <c r="D21" s="5"/>
      <c r="E21" s="5"/>
      <c r="F21" s="23"/>
      <c r="G21" s="23"/>
      <c r="H21" s="23"/>
      <c r="I21" s="23"/>
      <c r="J21" s="23"/>
    </row>
    <row r="22" spans="2:10" x14ac:dyDescent="0.2">
      <c r="B22" t="s">
        <v>13</v>
      </c>
      <c r="C22" s="19">
        <v>15</v>
      </c>
      <c r="D22" s="19">
        <v>15</v>
      </c>
      <c r="E22" s="19">
        <v>14</v>
      </c>
      <c r="F22" s="23">
        <f>E83*F122</f>
        <v>13</v>
      </c>
      <c r="G22" s="23">
        <f t="shared" ref="G22:J22" si="14">F83*G122</f>
        <v>12.35</v>
      </c>
      <c r="H22" s="23">
        <f t="shared" si="14"/>
        <v>11.57</v>
      </c>
      <c r="I22" s="23">
        <f t="shared" si="14"/>
        <v>10.595000000000001</v>
      </c>
      <c r="J22" s="23">
        <f t="shared" si="14"/>
        <v>9.620000000000001</v>
      </c>
    </row>
    <row r="23" spans="2:10" x14ac:dyDescent="0.2">
      <c r="B23" s="2" t="s">
        <v>14</v>
      </c>
      <c r="C23" s="4">
        <f t="shared" ref="C23:E23" si="15">C20-C22</f>
        <v>19.79999999999999</v>
      </c>
      <c r="D23" s="4">
        <f t="shared" si="15"/>
        <v>37.900000000000034</v>
      </c>
      <c r="E23" s="4">
        <f t="shared" si="15"/>
        <v>3.2999999999999652</v>
      </c>
      <c r="F23" s="32">
        <f>F20-F22</f>
        <v>14.31620543999999</v>
      </c>
      <c r="G23" s="32">
        <f t="shared" ref="G23:J23" si="16">G20-G22</f>
        <v>19.348510991999987</v>
      </c>
      <c r="H23" s="32">
        <f t="shared" si="16"/>
        <v>24.857201667999995</v>
      </c>
      <c r="I23" s="32">
        <f t="shared" si="16"/>
        <v>30.304413916352004</v>
      </c>
      <c r="J23" s="32">
        <f t="shared" si="16"/>
        <v>36.069003504558751</v>
      </c>
    </row>
    <row r="24" spans="2:10" x14ac:dyDescent="0.2">
      <c r="C24" s="5"/>
      <c r="D24" s="5"/>
      <c r="E24" s="5"/>
      <c r="F24" s="23"/>
      <c r="G24" s="23"/>
      <c r="H24" s="23"/>
      <c r="I24" s="23"/>
      <c r="J24" s="23"/>
    </row>
    <row r="25" spans="2:10" x14ac:dyDescent="0.2">
      <c r="B25" t="s">
        <v>15</v>
      </c>
      <c r="C25" s="19">
        <v>3</v>
      </c>
      <c r="D25" s="19">
        <v>8</v>
      </c>
      <c r="E25" s="19">
        <v>0</v>
      </c>
      <c r="F25" s="23">
        <f>IF(F23&gt;0,F23*F127*(1-F128),0)</f>
        <v>2.3263833839999983</v>
      </c>
      <c r="G25" s="23">
        <f t="shared" ref="G25:J25" si="17">IF(G23&gt;0,G23*G127*(1-G128),0)</f>
        <v>3.1441330361999982</v>
      </c>
      <c r="H25" s="23">
        <f t="shared" si="17"/>
        <v>4.0392952710499994</v>
      </c>
      <c r="I25" s="23">
        <f t="shared" si="17"/>
        <v>4.9244672614072007</v>
      </c>
      <c r="J25" s="23">
        <f t="shared" si="17"/>
        <v>5.8612130694907973</v>
      </c>
    </row>
    <row r="26" spans="2:10" x14ac:dyDescent="0.2">
      <c r="B26" t="s">
        <v>16</v>
      </c>
      <c r="C26" s="19">
        <v>2.7</v>
      </c>
      <c r="D26" s="19">
        <v>6.2</v>
      </c>
      <c r="E26" s="19">
        <v>1.1000000000000001</v>
      </c>
      <c r="F26" s="23">
        <f>IF(F23&gt;0,F23*F127*F128,0)</f>
        <v>1.252667975999999</v>
      </c>
      <c r="G26" s="23">
        <f t="shared" ref="G26:J26" si="18">IF(G23&gt;0,G23*G127*G128,0)</f>
        <v>1.6929947117999988</v>
      </c>
      <c r="H26" s="23">
        <f t="shared" si="18"/>
        <v>2.1750051459499993</v>
      </c>
      <c r="I26" s="23">
        <f t="shared" si="18"/>
        <v>2.6516362176808004</v>
      </c>
      <c r="J26" s="23">
        <f t="shared" si="18"/>
        <v>3.1560378066488903</v>
      </c>
    </row>
    <row r="27" spans="2:10" x14ac:dyDescent="0.2">
      <c r="B27" s="2" t="s">
        <v>17</v>
      </c>
      <c r="C27" s="4">
        <f>C25+C26</f>
        <v>5.7</v>
      </c>
      <c r="D27" s="4">
        <f>D25+D26</f>
        <v>14.2</v>
      </c>
      <c r="E27" s="4">
        <f>E25+E26</f>
        <v>1.1000000000000001</v>
      </c>
      <c r="F27" s="32">
        <f>F25+F26</f>
        <v>3.5790513599999976</v>
      </c>
      <c r="G27" s="32">
        <f t="shared" ref="G27:J27" si="19">G25+G26</f>
        <v>4.8371277479999968</v>
      </c>
      <c r="H27" s="32">
        <f t="shared" si="19"/>
        <v>6.2143004169999987</v>
      </c>
      <c r="I27" s="32">
        <f t="shared" si="19"/>
        <v>7.5761034790880011</v>
      </c>
      <c r="J27" s="32">
        <f t="shared" si="19"/>
        <v>9.0172508761396877</v>
      </c>
    </row>
    <row r="28" spans="2:10" x14ac:dyDescent="0.2">
      <c r="C28" s="5"/>
      <c r="D28" s="5"/>
      <c r="E28" s="5"/>
      <c r="F28" s="23"/>
      <c r="G28" s="23"/>
      <c r="H28" s="23"/>
      <c r="I28" s="23"/>
      <c r="J28" s="23"/>
    </row>
    <row r="29" spans="2:10" ht="16" thickBot="1" x14ac:dyDescent="0.25">
      <c r="B29" s="6" t="s">
        <v>18</v>
      </c>
      <c r="C29" s="7">
        <f t="shared" ref="C29:E29" si="20">C23-C27</f>
        <v>14.099999999999991</v>
      </c>
      <c r="D29" s="7">
        <f t="shared" si="20"/>
        <v>23.700000000000035</v>
      </c>
      <c r="E29" s="7">
        <f t="shared" si="20"/>
        <v>2.1999999999999651</v>
      </c>
      <c r="F29" s="33">
        <f>F23-F27</f>
        <v>10.737154079999993</v>
      </c>
      <c r="G29" s="33">
        <f t="shared" ref="G29:J29" si="21">G23-G27</f>
        <v>14.51138324399999</v>
      </c>
      <c r="H29" s="33">
        <f t="shared" si="21"/>
        <v>18.642901250999998</v>
      </c>
      <c r="I29" s="33">
        <f t="shared" si="21"/>
        <v>22.728310437264003</v>
      </c>
      <c r="J29" s="33">
        <f t="shared" si="21"/>
        <v>27.051752628419063</v>
      </c>
    </row>
    <row r="30" spans="2:10" ht="16" thickTop="1" x14ac:dyDescent="0.2"/>
    <row r="32" spans="2:10" ht="19" x14ac:dyDescent="0.25">
      <c r="C32" s="8" t="s">
        <v>0</v>
      </c>
      <c r="D32" s="8" t="s">
        <v>1</v>
      </c>
      <c r="E32" s="8" t="s">
        <v>2</v>
      </c>
      <c r="F32" t="s">
        <v>61</v>
      </c>
      <c r="G32" t="s">
        <v>61</v>
      </c>
      <c r="H32" t="s">
        <v>61</v>
      </c>
      <c r="I32" t="s">
        <v>61</v>
      </c>
      <c r="J32" t="s">
        <v>61</v>
      </c>
    </row>
    <row r="33" spans="2:10" ht="19" x14ac:dyDescent="0.25">
      <c r="B33" s="8" t="s">
        <v>32</v>
      </c>
      <c r="C33" s="14"/>
      <c r="D33" s="14"/>
      <c r="E33" s="14"/>
    </row>
    <row r="34" spans="2:10" x14ac:dyDescent="0.2">
      <c r="C34" s="9"/>
      <c r="D34" s="9"/>
      <c r="E34" s="9"/>
    </row>
    <row r="35" spans="2:10" x14ac:dyDescent="0.2">
      <c r="B35" s="15" t="s">
        <v>33</v>
      </c>
      <c r="C35" s="16"/>
      <c r="D35" s="16"/>
      <c r="E35" s="16"/>
    </row>
    <row r="36" spans="2:10" x14ac:dyDescent="0.2">
      <c r="B36" s="17" t="s">
        <v>34</v>
      </c>
      <c r="C36" s="20">
        <v>14.1</v>
      </c>
      <c r="D36" s="20">
        <v>23.7</v>
      </c>
      <c r="E36" s="20">
        <v>2.2000000000000002</v>
      </c>
      <c r="F36" s="23">
        <f>F29</f>
        <v>10.737154079999993</v>
      </c>
      <c r="G36" s="23">
        <f t="shared" ref="G36:J36" si="22">G29</f>
        <v>14.51138324399999</v>
      </c>
      <c r="H36" s="23">
        <f t="shared" si="22"/>
        <v>18.642901250999998</v>
      </c>
      <c r="I36" s="23">
        <f t="shared" si="22"/>
        <v>22.728310437264003</v>
      </c>
      <c r="J36" s="23">
        <f t="shared" si="22"/>
        <v>27.051752628419063</v>
      </c>
    </row>
    <row r="37" spans="2:10" x14ac:dyDescent="0.2">
      <c r="B37" s="17" t="s">
        <v>11</v>
      </c>
      <c r="C37" s="20">
        <v>15.4</v>
      </c>
      <c r="D37" s="20">
        <v>15.5</v>
      </c>
      <c r="E37" s="20">
        <v>15.8</v>
      </c>
      <c r="F37" s="23">
        <f>F19</f>
        <v>15.907999999999999</v>
      </c>
      <c r="G37" s="23">
        <f t="shared" ref="G37:J37" si="23">G19</f>
        <v>15.911679999999999</v>
      </c>
      <c r="H37" s="23">
        <f t="shared" si="23"/>
        <v>15.9352128</v>
      </c>
      <c r="I37" s="23">
        <f t="shared" si="23"/>
        <v>15.977804288</v>
      </c>
      <c r="J37" s="23">
        <f t="shared" si="23"/>
        <v>16.03869211648</v>
      </c>
    </row>
    <row r="38" spans="2:10" x14ac:dyDescent="0.2">
      <c r="B38" s="17" t="s">
        <v>16</v>
      </c>
      <c r="C38" s="20">
        <v>2.7</v>
      </c>
      <c r="D38" s="20">
        <v>6.2</v>
      </c>
      <c r="E38" s="20">
        <v>1.1000000000000001</v>
      </c>
      <c r="F38" s="23">
        <f>F26</f>
        <v>1.252667975999999</v>
      </c>
      <c r="G38" s="23">
        <f t="shared" ref="G38:J38" si="24">G26</f>
        <v>1.6929947117999988</v>
      </c>
      <c r="H38" s="23">
        <f t="shared" si="24"/>
        <v>2.1750051459499993</v>
      </c>
      <c r="I38" s="23">
        <f t="shared" si="24"/>
        <v>2.6516362176808004</v>
      </c>
      <c r="J38" s="23">
        <f t="shared" si="24"/>
        <v>3.1560378066488903</v>
      </c>
    </row>
    <row r="39" spans="2:10" x14ac:dyDescent="0.2">
      <c r="B39" s="17" t="s">
        <v>35</v>
      </c>
      <c r="C39" s="20">
        <v>0</v>
      </c>
      <c r="D39" s="20">
        <v>0</v>
      </c>
      <c r="E39" s="20">
        <v>0</v>
      </c>
      <c r="F39" s="23">
        <f>-(F64-E64)-(F65-E65)-(F66-E66)-(F67-E67)+(F78-E78)+(F79-E79)</f>
        <v>0.44937877041096508</v>
      </c>
      <c r="G39" s="23">
        <f t="shared" ref="G39:J39" si="25">-(G64-F64)-(G65-F65)-(G66-F66)-(G67-F67)+(G78-F78)+(G79-F79)</f>
        <v>-0.36567598421919101</v>
      </c>
      <c r="H39" s="23">
        <f t="shared" si="25"/>
        <v>-7.4110674919454667E-2</v>
      </c>
      <c r="I39" s="23">
        <f t="shared" si="25"/>
        <v>-0.59277822599014307</v>
      </c>
      <c r="J39" s="23">
        <f t="shared" si="25"/>
        <v>-0.55598441198235626</v>
      </c>
    </row>
    <row r="40" spans="2:10" x14ac:dyDescent="0.2">
      <c r="B40" s="2" t="s">
        <v>36</v>
      </c>
      <c r="C40" s="18">
        <f>C36+C37+C38+C39</f>
        <v>32.200000000000003</v>
      </c>
      <c r="D40" s="18">
        <f>D36+D37+D38+D39</f>
        <v>45.400000000000006</v>
      </c>
      <c r="E40" s="18">
        <f>E36+E37+E38+E39</f>
        <v>19.100000000000001</v>
      </c>
      <c r="F40" s="32">
        <f>F36+F37+F38+F39</f>
        <v>28.347200826410955</v>
      </c>
      <c r="G40" s="32">
        <f t="shared" ref="G40:J40" si="26">G36+G37+G38+G39</f>
        <v>31.750381971580797</v>
      </c>
      <c r="H40" s="32">
        <f t="shared" si="26"/>
        <v>36.679008522030543</v>
      </c>
      <c r="I40" s="32">
        <f t="shared" si="26"/>
        <v>40.764972716954659</v>
      </c>
      <c r="J40" s="32">
        <f t="shared" si="26"/>
        <v>45.690498139565591</v>
      </c>
    </row>
    <row r="41" spans="2:10" x14ac:dyDescent="0.2">
      <c r="C41" s="9"/>
      <c r="D41" s="9"/>
      <c r="E41" s="9"/>
      <c r="F41" s="23"/>
      <c r="G41" s="23"/>
      <c r="H41" s="23"/>
      <c r="I41" s="23"/>
      <c r="J41" s="23"/>
    </row>
    <row r="42" spans="2:10" x14ac:dyDescent="0.2">
      <c r="B42" s="15" t="s">
        <v>37</v>
      </c>
      <c r="C42" s="16"/>
      <c r="D42" s="16"/>
      <c r="E42" s="16"/>
      <c r="F42" s="23"/>
      <c r="G42" s="23"/>
      <c r="H42" s="23"/>
      <c r="I42" s="23"/>
      <c r="J42" s="23"/>
    </row>
    <row r="43" spans="2:10" x14ac:dyDescent="0.2">
      <c r="B43" s="17" t="s">
        <v>38</v>
      </c>
      <c r="C43" s="20">
        <v>-14.1</v>
      </c>
      <c r="D43" s="20">
        <v>-15</v>
      </c>
      <c r="E43" s="20">
        <v>-15.5</v>
      </c>
      <c r="F43" s="23">
        <f>F131</f>
        <v>-16</v>
      </c>
      <c r="G43" s="23">
        <f t="shared" ref="G43:J43" si="27">G131</f>
        <v>-16.5</v>
      </c>
      <c r="H43" s="23">
        <f t="shared" si="27"/>
        <v>-17</v>
      </c>
      <c r="I43" s="23">
        <f t="shared" si="27"/>
        <v>-17.5</v>
      </c>
      <c r="J43" s="23">
        <f t="shared" si="27"/>
        <v>-18</v>
      </c>
    </row>
    <row r="44" spans="2:10" x14ac:dyDescent="0.2">
      <c r="B44" s="17" t="s">
        <v>39</v>
      </c>
      <c r="C44" s="20">
        <v>-5</v>
      </c>
      <c r="D44" s="20">
        <v>4</v>
      </c>
      <c r="E44" s="20">
        <v>3</v>
      </c>
      <c r="F44" s="23">
        <f>-(F71-E71)</f>
        <v>2</v>
      </c>
      <c r="G44" s="23">
        <f>-(G71-F71)</f>
        <v>1</v>
      </c>
      <c r="H44" s="23">
        <f>-(H71-G71)</f>
        <v>1</v>
      </c>
      <c r="I44" s="23">
        <f>-(I71-H71)</f>
        <v>1</v>
      </c>
      <c r="J44" s="23">
        <f>-(J71-I71)</f>
        <v>1</v>
      </c>
    </row>
    <row r="45" spans="2:10" x14ac:dyDescent="0.2">
      <c r="B45" s="2" t="s">
        <v>40</v>
      </c>
      <c r="C45" s="18">
        <f t="shared" ref="C45:E45" si="28">C43+C44</f>
        <v>-19.100000000000001</v>
      </c>
      <c r="D45" s="18">
        <f t="shared" si="28"/>
        <v>-11</v>
      </c>
      <c r="E45" s="18">
        <f t="shared" si="28"/>
        <v>-12.5</v>
      </c>
      <c r="F45" s="32">
        <f>F43+F44</f>
        <v>-14</v>
      </c>
      <c r="G45" s="32">
        <f t="shared" ref="G45:J45" si="29">G43+G44</f>
        <v>-15.5</v>
      </c>
      <c r="H45" s="32">
        <f t="shared" si="29"/>
        <v>-16</v>
      </c>
      <c r="I45" s="32">
        <f t="shared" si="29"/>
        <v>-16.5</v>
      </c>
      <c r="J45" s="32">
        <f t="shared" si="29"/>
        <v>-17</v>
      </c>
    </row>
    <row r="46" spans="2:10" x14ac:dyDescent="0.2">
      <c r="C46" s="9"/>
      <c r="D46" s="9"/>
      <c r="E46" s="9"/>
      <c r="F46" s="23"/>
      <c r="G46" s="23"/>
      <c r="H46" s="23"/>
      <c r="I46" s="23"/>
      <c r="J46" s="23"/>
    </row>
    <row r="47" spans="2:10" x14ac:dyDescent="0.2">
      <c r="B47" s="15" t="s">
        <v>41</v>
      </c>
      <c r="C47" s="16"/>
      <c r="D47" s="16"/>
      <c r="E47" s="16"/>
      <c r="F47" s="23"/>
      <c r="G47" s="23"/>
      <c r="H47" s="23"/>
      <c r="I47" s="23"/>
      <c r="J47" s="23"/>
    </row>
    <row r="48" spans="2:10" x14ac:dyDescent="0.2">
      <c r="B48" s="17" t="s">
        <v>42</v>
      </c>
      <c r="C48" s="20">
        <v>0</v>
      </c>
      <c r="D48" s="20">
        <v>0</v>
      </c>
      <c r="E48" s="20">
        <v>0</v>
      </c>
      <c r="F48" s="23">
        <f>F124</f>
        <v>0</v>
      </c>
      <c r="G48" s="23">
        <f t="shared" ref="G48:J48" si="30">G124</f>
        <v>0</v>
      </c>
      <c r="H48" s="23">
        <f t="shared" si="30"/>
        <v>0</v>
      </c>
      <c r="I48" s="23">
        <f t="shared" si="30"/>
        <v>0</v>
      </c>
      <c r="J48" s="23">
        <f t="shared" si="30"/>
        <v>0</v>
      </c>
    </row>
    <row r="49" spans="2:10" x14ac:dyDescent="0.2">
      <c r="B49" s="17" t="s">
        <v>43</v>
      </c>
      <c r="C49" s="20">
        <v>-25</v>
      </c>
      <c r="D49" s="20">
        <v>-25</v>
      </c>
      <c r="E49" s="20">
        <v>-25</v>
      </c>
      <c r="F49" s="23">
        <f>F123</f>
        <v>-10</v>
      </c>
      <c r="G49" s="23">
        <f t="shared" ref="G49:J49" si="31">G123</f>
        <v>-12</v>
      </c>
      <c r="H49" s="23">
        <f t="shared" si="31"/>
        <v>-15</v>
      </c>
      <c r="I49" s="23">
        <f t="shared" si="31"/>
        <v>-15</v>
      </c>
      <c r="J49" s="23">
        <f t="shared" si="31"/>
        <v>-15</v>
      </c>
    </row>
    <row r="50" spans="2:10" x14ac:dyDescent="0.2">
      <c r="B50" s="17" t="s">
        <v>44</v>
      </c>
      <c r="C50" s="20">
        <v>0</v>
      </c>
      <c r="D50" s="20">
        <v>0</v>
      </c>
      <c r="E50" s="20">
        <v>0</v>
      </c>
      <c r="F50" s="23">
        <f>F137</f>
        <v>0</v>
      </c>
      <c r="G50" s="23">
        <f t="shared" ref="G50:J50" si="32">G137</f>
        <v>0</v>
      </c>
      <c r="H50" s="23">
        <f t="shared" si="32"/>
        <v>0</v>
      </c>
      <c r="I50" s="23">
        <f t="shared" si="32"/>
        <v>0</v>
      </c>
      <c r="J50" s="23">
        <f t="shared" si="32"/>
        <v>0</v>
      </c>
    </row>
    <row r="51" spans="2:10" x14ac:dyDescent="0.2">
      <c r="B51" s="17" t="s">
        <v>45</v>
      </c>
      <c r="C51" s="20">
        <v>-2.8</v>
      </c>
      <c r="D51" s="20">
        <v>-4.7</v>
      </c>
      <c r="E51" s="20">
        <v>-2.4</v>
      </c>
      <c r="F51" s="23">
        <f>-MAX(F29,0)*F136</f>
        <v>-2.1474308159999986</v>
      </c>
      <c r="G51" s="23">
        <f t="shared" ref="G51:J51" si="33">-MAX(G29,0)*G136</f>
        <v>-2.9022766487999982</v>
      </c>
      <c r="H51" s="23">
        <f t="shared" si="33"/>
        <v>-3.7285802501999998</v>
      </c>
      <c r="I51" s="23">
        <f t="shared" si="33"/>
        <v>-4.5456620874528006</v>
      </c>
      <c r="J51" s="23">
        <f t="shared" si="33"/>
        <v>-5.4103505256838131</v>
      </c>
    </row>
    <row r="52" spans="2:10" x14ac:dyDescent="0.2">
      <c r="B52" s="2" t="s">
        <v>46</v>
      </c>
      <c r="C52" s="18">
        <f>C48+C49+C50+C51</f>
        <v>-27.8</v>
      </c>
      <c r="D52" s="18">
        <f>D48+D49+D50+D51</f>
        <v>-29.7</v>
      </c>
      <c r="E52" s="18">
        <f>E48+E49+E50+E51</f>
        <v>-27.4</v>
      </c>
      <c r="F52" s="32">
        <f>F48+F49+F50+F51</f>
        <v>-12.147430815999998</v>
      </c>
      <c r="G52" s="32">
        <f t="shared" ref="G52:J52" si="34">G48+G49+G50+G51</f>
        <v>-14.902276648799997</v>
      </c>
      <c r="H52" s="32">
        <f t="shared" si="34"/>
        <v>-18.7285802502</v>
      </c>
      <c r="I52" s="32">
        <f t="shared" si="34"/>
        <v>-19.545662087452801</v>
      </c>
      <c r="J52" s="32">
        <f t="shared" si="34"/>
        <v>-20.410350525683814</v>
      </c>
    </row>
    <row r="53" spans="2:10" x14ac:dyDescent="0.2">
      <c r="C53" s="9"/>
      <c r="D53" s="9"/>
      <c r="E53" s="9"/>
      <c r="F53" s="23"/>
      <c r="G53" s="23"/>
      <c r="H53" s="23"/>
      <c r="I53" s="23"/>
      <c r="J53" s="23"/>
    </row>
    <row r="54" spans="2:10" x14ac:dyDescent="0.2">
      <c r="B54" t="s">
        <v>47</v>
      </c>
      <c r="C54" s="9">
        <f t="shared" ref="C54:E54" si="35">C40+C45+C52</f>
        <v>-14.7</v>
      </c>
      <c r="D54" s="9">
        <f t="shared" si="35"/>
        <v>4.7000000000000064</v>
      </c>
      <c r="E54" s="9">
        <f t="shared" si="35"/>
        <v>-20.799999999999997</v>
      </c>
      <c r="F54" s="23">
        <f>F40+F45+F52</f>
        <v>2.1997700104109565</v>
      </c>
      <c r="G54" s="23">
        <f t="shared" ref="G54:J54" si="36">G40+G45+G52</f>
        <v>1.3481053227807998</v>
      </c>
      <c r="H54" s="23">
        <f t="shared" si="36"/>
        <v>1.9504282718305426</v>
      </c>
      <c r="I54" s="23">
        <f t="shared" si="36"/>
        <v>4.7193106295018588</v>
      </c>
      <c r="J54" s="23">
        <f t="shared" si="36"/>
        <v>8.2801476138817769</v>
      </c>
    </row>
    <row r="55" spans="2:10" x14ac:dyDescent="0.2">
      <c r="B55" t="s">
        <v>48</v>
      </c>
      <c r="C55" s="20">
        <v>31.1</v>
      </c>
      <c r="D55" s="20">
        <v>16.399999999999999</v>
      </c>
      <c r="E55" s="20">
        <v>21.1</v>
      </c>
      <c r="F55" s="23">
        <f>E56</f>
        <v>0.30000000000000426</v>
      </c>
      <c r="G55" s="23">
        <f t="shared" ref="G55:J55" si="37">F56</f>
        <v>2.4997700104109608</v>
      </c>
      <c r="H55" s="23">
        <f t="shared" si="37"/>
        <v>3.8478753331917606</v>
      </c>
      <c r="I55" s="23">
        <f t="shared" si="37"/>
        <v>5.7983036050223031</v>
      </c>
      <c r="J55" s="23">
        <f t="shared" si="37"/>
        <v>10.517614234524162</v>
      </c>
    </row>
    <row r="56" spans="2:10" ht="16" thickBot="1" x14ac:dyDescent="0.25">
      <c r="B56" s="6" t="s">
        <v>49</v>
      </c>
      <c r="C56" s="10">
        <f t="shared" ref="C56:E56" si="38">C55+C54</f>
        <v>16.400000000000002</v>
      </c>
      <c r="D56" s="10">
        <f t="shared" si="38"/>
        <v>21.100000000000005</v>
      </c>
      <c r="E56" s="10">
        <f t="shared" si="38"/>
        <v>0.30000000000000426</v>
      </c>
      <c r="F56" s="33">
        <f>F55+F54</f>
        <v>2.4997700104109608</v>
      </c>
      <c r="G56" s="33">
        <f t="shared" ref="G56:J56" si="39">G55+G54</f>
        <v>3.8478753331917606</v>
      </c>
      <c r="H56" s="33">
        <f t="shared" si="39"/>
        <v>5.7983036050223031</v>
      </c>
      <c r="I56" s="33">
        <f t="shared" si="39"/>
        <v>10.517614234524162</v>
      </c>
      <c r="J56" s="33">
        <f t="shared" si="39"/>
        <v>18.797761848405941</v>
      </c>
    </row>
    <row r="57" spans="2:10" ht="16" thickTop="1" x14ac:dyDescent="0.2"/>
    <row r="59" spans="2:10" ht="19" x14ac:dyDescent="0.25">
      <c r="C59" s="8" t="s">
        <v>0</v>
      </c>
      <c r="D59" s="8" t="s">
        <v>1</v>
      </c>
      <c r="E59" s="8" t="s">
        <v>2</v>
      </c>
      <c r="F59" t="s">
        <v>61</v>
      </c>
      <c r="G59" t="s">
        <v>61</v>
      </c>
      <c r="H59" t="s">
        <v>61</v>
      </c>
      <c r="I59" t="s">
        <v>61</v>
      </c>
      <c r="J59" t="s">
        <v>61</v>
      </c>
    </row>
    <row r="60" spans="2:10" ht="19" x14ac:dyDescent="0.25">
      <c r="B60" s="8" t="s">
        <v>31</v>
      </c>
      <c r="C60" s="11"/>
      <c r="D60" s="11"/>
      <c r="E60" s="11"/>
    </row>
    <row r="61" spans="2:10" x14ac:dyDescent="0.2">
      <c r="C61" s="5"/>
      <c r="D61" s="5"/>
      <c r="E61" s="5"/>
    </row>
    <row r="62" spans="2:10" x14ac:dyDescent="0.2">
      <c r="B62" s="1" t="s">
        <v>50</v>
      </c>
      <c r="C62" s="3"/>
      <c r="D62" s="3"/>
      <c r="E62" s="3"/>
    </row>
    <row r="63" spans="2:10" x14ac:dyDescent="0.2">
      <c r="B63" s="17" t="s">
        <v>51</v>
      </c>
      <c r="C63" s="19">
        <v>16.399999999999999</v>
      </c>
      <c r="D63" s="19">
        <v>21.1</v>
      </c>
      <c r="E63" s="19">
        <v>0.3</v>
      </c>
      <c r="F63" s="23">
        <f>F56</f>
        <v>2.4997700104109608</v>
      </c>
      <c r="G63" s="23">
        <f t="shared" ref="G63:J63" si="40">G56</f>
        <v>3.8478753331917606</v>
      </c>
      <c r="H63" s="23">
        <f t="shared" si="40"/>
        <v>5.7983036050223031</v>
      </c>
      <c r="I63" s="23">
        <f t="shared" si="40"/>
        <v>10.517614234524162</v>
      </c>
      <c r="J63" s="23">
        <f t="shared" si="40"/>
        <v>18.797761848405941</v>
      </c>
    </row>
    <row r="64" spans="2:10" x14ac:dyDescent="0.2">
      <c r="B64" s="17" t="s">
        <v>22</v>
      </c>
      <c r="C64" s="19">
        <v>27</v>
      </c>
      <c r="D64" s="19">
        <v>27.8</v>
      </c>
      <c r="E64" s="19">
        <v>28.3</v>
      </c>
      <c r="F64" s="23">
        <f>F8*F114/365</f>
        <v>28.35011506849315</v>
      </c>
      <c r="G64" s="23">
        <f t="shared" ref="G64:J64" si="41">G8*G114/365</f>
        <v>29.058867945205485</v>
      </c>
      <c r="H64" s="23">
        <f t="shared" si="41"/>
        <v>29.484119671232882</v>
      </c>
      <c r="I64" s="23">
        <f t="shared" si="41"/>
        <v>30.663484458082202</v>
      </c>
      <c r="J64" s="23">
        <f t="shared" si="41"/>
        <v>31.73670641411508</v>
      </c>
    </row>
    <row r="65" spans="2:10" x14ac:dyDescent="0.2">
      <c r="B65" s="17" t="s">
        <v>23</v>
      </c>
      <c r="C65" s="19">
        <v>36.5</v>
      </c>
      <c r="D65" s="19">
        <v>36.1</v>
      </c>
      <c r="E65" s="19">
        <v>35.1</v>
      </c>
      <c r="F65" s="23">
        <f>F12*F115/365</f>
        <v>34.41217967342466</v>
      </c>
      <c r="G65" s="23">
        <f t="shared" ref="G65:J65" si="42">G12*G115/365</f>
        <v>34.730875466958913</v>
      </c>
      <c r="H65" s="23">
        <f t="shared" si="42"/>
        <v>34.889148489363301</v>
      </c>
      <c r="I65" s="23">
        <f t="shared" si="42"/>
        <v>34.812637198816454</v>
      </c>
      <c r="J65" s="23">
        <f t="shared" si="42"/>
        <v>34.734555701992392</v>
      </c>
    </row>
    <row r="66" spans="2:10" x14ac:dyDescent="0.2">
      <c r="B66" s="17" t="s">
        <v>24</v>
      </c>
      <c r="C66" s="19">
        <v>14.6</v>
      </c>
      <c r="D66" s="19">
        <v>14.4</v>
      </c>
      <c r="E66" s="19">
        <v>14.9</v>
      </c>
      <c r="F66" s="23">
        <f>F117</f>
        <v>15</v>
      </c>
      <c r="G66" s="23">
        <f t="shared" ref="G66:J66" si="43">G117</f>
        <v>15.1</v>
      </c>
      <c r="H66" s="23">
        <f t="shared" si="43"/>
        <v>15.2</v>
      </c>
      <c r="I66" s="23">
        <f t="shared" si="43"/>
        <v>15.3</v>
      </c>
      <c r="J66" s="23">
        <f t="shared" si="43"/>
        <v>15.4</v>
      </c>
    </row>
    <row r="67" spans="2:10" x14ac:dyDescent="0.2">
      <c r="B67" s="17" t="s">
        <v>39</v>
      </c>
      <c r="C67" s="19">
        <v>1.4</v>
      </c>
      <c r="D67" s="19">
        <v>1.8</v>
      </c>
      <c r="E67" s="19">
        <v>1.2</v>
      </c>
      <c r="F67" s="23">
        <f>F118</f>
        <v>1.3</v>
      </c>
      <c r="G67" s="23">
        <f t="shared" ref="G67:J67" si="44">G118</f>
        <v>1.3</v>
      </c>
      <c r="H67" s="23">
        <f t="shared" si="44"/>
        <v>1.3</v>
      </c>
      <c r="I67" s="23">
        <f t="shared" si="44"/>
        <v>1.3</v>
      </c>
      <c r="J67" s="23">
        <f t="shared" si="44"/>
        <v>1.3</v>
      </c>
    </row>
    <row r="68" spans="2:10" x14ac:dyDescent="0.2">
      <c r="B68" s="2" t="s">
        <v>25</v>
      </c>
      <c r="C68" s="4">
        <f>C63+C64+C65+C66+C67</f>
        <v>95.9</v>
      </c>
      <c r="D68" s="4">
        <f>D63+D64+D65+D66+D67</f>
        <v>101.2</v>
      </c>
      <c r="E68" s="4">
        <f>E63+E64+E65+E66+E67</f>
        <v>79.800000000000011</v>
      </c>
      <c r="F68" s="32">
        <f>F63+F64+F65+F66+F67</f>
        <v>81.562064752328766</v>
      </c>
      <c r="G68" s="32">
        <f t="shared" ref="G68:J68" si="45">G63+G64+G65+G66+G67</f>
        <v>84.037618745356141</v>
      </c>
      <c r="H68" s="32">
        <f t="shared" si="45"/>
        <v>86.671571765618495</v>
      </c>
      <c r="I68" s="32">
        <f t="shared" si="45"/>
        <v>92.59373589142281</v>
      </c>
      <c r="J68" s="32">
        <f t="shared" si="45"/>
        <v>101.96902396451341</v>
      </c>
    </row>
    <row r="69" spans="2:10" x14ac:dyDescent="0.2">
      <c r="C69" s="5"/>
      <c r="D69" s="5"/>
      <c r="E69" s="5"/>
      <c r="F69" s="23"/>
      <c r="G69" s="23"/>
      <c r="H69" s="23"/>
      <c r="I69" s="23"/>
      <c r="J69" s="23"/>
    </row>
    <row r="70" spans="2:10" x14ac:dyDescent="0.2">
      <c r="B70" s="17" t="s">
        <v>52</v>
      </c>
      <c r="C70" s="19">
        <v>398.5</v>
      </c>
      <c r="D70" s="19">
        <v>398</v>
      </c>
      <c r="E70" s="19">
        <v>397.7</v>
      </c>
      <c r="F70" s="23">
        <f>E70-F19-F43</f>
        <v>397.79199999999997</v>
      </c>
      <c r="G70" s="23">
        <f t="shared" ref="G70:J70" si="46">F70-G19-G43</f>
        <v>398.38031999999998</v>
      </c>
      <c r="H70" s="23">
        <f t="shared" si="46"/>
        <v>399.4451072</v>
      </c>
      <c r="I70" s="23">
        <f t="shared" si="46"/>
        <v>400.96730291199998</v>
      </c>
      <c r="J70" s="23">
        <f t="shared" si="46"/>
        <v>402.92861079552</v>
      </c>
    </row>
    <row r="71" spans="2:10" x14ac:dyDescent="0.2">
      <c r="B71" s="17" t="s">
        <v>39</v>
      </c>
      <c r="C71" s="19">
        <v>19</v>
      </c>
      <c r="D71" s="19">
        <v>15</v>
      </c>
      <c r="E71" s="19">
        <v>12</v>
      </c>
      <c r="F71" s="23">
        <f>F133</f>
        <v>10</v>
      </c>
      <c r="G71" s="23">
        <f t="shared" ref="G71:J71" si="47">G133</f>
        <v>9</v>
      </c>
      <c r="H71" s="23">
        <f t="shared" si="47"/>
        <v>8</v>
      </c>
      <c r="I71" s="23">
        <f t="shared" si="47"/>
        <v>7</v>
      </c>
      <c r="J71" s="23">
        <f t="shared" si="47"/>
        <v>6</v>
      </c>
    </row>
    <row r="72" spans="2:10" x14ac:dyDescent="0.2">
      <c r="B72" s="2" t="s">
        <v>53</v>
      </c>
      <c r="C72" s="4">
        <f t="shared" ref="C72:E72" si="48">C70+C71</f>
        <v>417.5</v>
      </c>
      <c r="D72" s="4">
        <f t="shared" si="48"/>
        <v>413</v>
      </c>
      <c r="E72" s="4">
        <f t="shared" si="48"/>
        <v>409.7</v>
      </c>
      <c r="F72" s="32">
        <f>F70+F71</f>
        <v>407.79199999999997</v>
      </c>
      <c r="G72" s="32">
        <f t="shared" ref="G72:J72" si="49">G70+G71</f>
        <v>407.38031999999998</v>
      </c>
      <c r="H72" s="32">
        <f t="shared" si="49"/>
        <v>407.4451072</v>
      </c>
      <c r="I72" s="32">
        <f t="shared" si="49"/>
        <v>407.96730291199998</v>
      </c>
      <c r="J72" s="32">
        <f t="shared" si="49"/>
        <v>408.92861079552</v>
      </c>
    </row>
    <row r="73" spans="2:10" x14ac:dyDescent="0.2">
      <c r="C73" s="5"/>
      <c r="D73" s="5"/>
      <c r="E73" s="5"/>
      <c r="F73" s="23"/>
      <c r="G73" s="23"/>
      <c r="H73" s="23"/>
      <c r="I73" s="23"/>
      <c r="J73" s="23"/>
    </row>
    <row r="74" spans="2:10" ht="16" thickBot="1" x14ac:dyDescent="0.25">
      <c r="B74" s="6" t="s">
        <v>26</v>
      </c>
      <c r="C74" s="7">
        <f t="shared" ref="C74:E74" si="50">C68+C72</f>
        <v>513.4</v>
      </c>
      <c r="D74" s="7">
        <f t="shared" si="50"/>
        <v>514.20000000000005</v>
      </c>
      <c r="E74" s="7">
        <f t="shared" si="50"/>
        <v>489.5</v>
      </c>
      <c r="F74" s="33">
        <f>F68+F72</f>
        <v>489.35406475232872</v>
      </c>
      <c r="G74" s="33">
        <f t="shared" ref="G74:J74" si="51">G68+G72</f>
        <v>491.41793874535614</v>
      </c>
      <c r="H74" s="33">
        <f t="shared" si="51"/>
        <v>494.11667896561846</v>
      </c>
      <c r="I74" s="33">
        <f t="shared" si="51"/>
        <v>500.56103880342278</v>
      </c>
      <c r="J74" s="33">
        <f t="shared" si="51"/>
        <v>510.89763476003338</v>
      </c>
    </row>
    <row r="75" spans="2:10" ht="16" thickTop="1" x14ac:dyDescent="0.2">
      <c r="C75" s="5"/>
      <c r="D75" s="5"/>
      <c r="E75" s="5"/>
      <c r="F75" s="23"/>
      <c r="G75" s="23"/>
      <c r="H75" s="23"/>
      <c r="I75" s="23"/>
      <c r="J75" s="23"/>
    </row>
    <row r="76" spans="2:10" x14ac:dyDescent="0.2">
      <c r="B76" s="1" t="s">
        <v>54</v>
      </c>
      <c r="C76" s="3"/>
      <c r="D76" s="3"/>
      <c r="E76" s="3"/>
      <c r="F76" s="23"/>
      <c r="G76" s="23"/>
      <c r="H76" s="23"/>
      <c r="I76" s="23"/>
      <c r="J76" s="23"/>
    </row>
    <row r="77" spans="2:10" x14ac:dyDescent="0.2">
      <c r="B77" s="17" t="s">
        <v>55</v>
      </c>
      <c r="C77" s="19">
        <v>0</v>
      </c>
      <c r="D77" s="19">
        <v>0</v>
      </c>
      <c r="E77" s="19">
        <v>0</v>
      </c>
      <c r="F77" s="23">
        <f>E77+F124</f>
        <v>0</v>
      </c>
      <c r="G77" s="23">
        <f t="shared" ref="G77:J77" si="52">F77+G124</f>
        <v>0</v>
      </c>
      <c r="H77" s="23">
        <f t="shared" si="52"/>
        <v>0</v>
      </c>
      <c r="I77" s="23">
        <f t="shared" si="52"/>
        <v>0</v>
      </c>
      <c r="J77" s="23">
        <f t="shared" si="52"/>
        <v>0</v>
      </c>
    </row>
    <row r="78" spans="2:10" x14ac:dyDescent="0.2">
      <c r="B78" s="17" t="s">
        <v>27</v>
      </c>
      <c r="C78" s="19">
        <v>18.3</v>
      </c>
      <c r="D78" s="19">
        <v>18.7</v>
      </c>
      <c r="E78" s="19">
        <v>18.2</v>
      </c>
      <c r="F78" s="23">
        <f>F12*F116/365</f>
        <v>18.111673512328771</v>
      </c>
      <c r="G78" s="23">
        <f t="shared" ref="G78:J78" si="53">G12*G116/365</f>
        <v>18.773446198356169</v>
      </c>
      <c r="H78" s="23">
        <f t="shared" si="53"/>
        <v>19.382860271868498</v>
      </c>
      <c r="I78" s="23">
        <f t="shared" si="53"/>
        <v>19.89293554218083</v>
      </c>
      <c r="J78" s="23">
        <f t="shared" si="53"/>
        <v>20.432091589407289</v>
      </c>
    </row>
    <row r="79" spans="2:10" x14ac:dyDescent="0.2">
      <c r="B79" s="17" t="s">
        <v>39</v>
      </c>
      <c r="C79" s="19">
        <v>4.7</v>
      </c>
      <c r="D79" s="19">
        <v>4.9000000000000004</v>
      </c>
      <c r="E79" s="19">
        <v>4.8</v>
      </c>
      <c r="F79" s="23">
        <f>F119</f>
        <v>4.9000000000000004</v>
      </c>
      <c r="G79" s="23">
        <f t="shared" ref="G79:J79" si="54">G119</f>
        <v>5</v>
      </c>
      <c r="H79" s="23">
        <f t="shared" si="54"/>
        <v>5</v>
      </c>
      <c r="I79" s="23">
        <f t="shared" si="54"/>
        <v>5.0999999999999996</v>
      </c>
      <c r="J79" s="23">
        <f t="shared" si="54"/>
        <v>5.0999999999999996</v>
      </c>
    </row>
    <row r="80" spans="2:10" x14ac:dyDescent="0.2">
      <c r="B80" s="2" t="s">
        <v>28</v>
      </c>
      <c r="C80" s="4">
        <f>C77+C78+C79</f>
        <v>23</v>
      </c>
      <c r="D80" s="4">
        <f>D77+D78+D79</f>
        <v>23.6</v>
      </c>
      <c r="E80" s="4">
        <f>E77+E78+E79</f>
        <v>23</v>
      </c>
      <c r="F80" s="32">
        <f>F77+F78+F79</f>
        <v>23.01167351232877</v>
      </c>
      <c r="G80" s="32">
        <f t="shared" ref="G80:J80" si="55">G77+G78+G79</f>
        <v>23.773446198356169</v>
      </c>
      <c r="H80" s="32">
        <f t="shared" si="55"/>
        <v>24.382860271868498</v>
      </c>
      <c r="I80" s="32">
        <f t="shared" si="55"/>
        <v>24.992935542180831</v>
      </c>
      <c r="J80" s="32">
        <f t="shared" si="55"/>
        <v>25.532091589407287</v>
      </c>
    </row>
    <row r="81" spans="2:10" x14ac:dyDescent="0.2">
      <c r="C81" s="5"/>
      <c r="D81" s="5"/>
      <c r="E81" s="5"/>
      <c r="F81" s="23"/>
      <c r="G81" s="23"/>
      <c r="H81" s="23"/>
      <c r="I81" s="23"/>
      <c r="J81" s="23"/>
    </row>
    <row r="82" spans="2:10" x14ac:dyDescent="0.2">
      <c r="B82" s="17" t="s">
        <v>16</v>
      </c>
      <c r="C82" s="19">
        <v>0.7</v>
      </c>
      <c r="D82" s="19">
        <v>6.9</v>
      </c>
      <c r="E82" s="19">
        <v>8</v>
      </c>
      <c r="F82" s="23">
        <f>E82+F26</f>
        <v>9.2526679759999997</v>
      </c>
      <c r="G82" s="23">
        <f t="shared" ref="G82:J82" si="56">F82+G26</f>
        <v>10.945662687799999</v>
      </c>
      <c r="H82" s="23">
        <f t="shared" si="56"/>
        <v>13.120667833749998</v>
      </c>
      <c r="I82" s="23">
        <f t="shared" si="56"/>
        <v>15.772304051430798</v>
      </c>
      <c r="J82" s="23">
        <f t="shared" si="56"/>
        <v>18.928341858079687</v>
      </c>
    </row>
    <row r="83" spans="2:10" x14ac:dyDescent="0.2">
      <c r="B83" s="17" t="s">
        <v>56</v>
      </c>
      <c r="C83" s="19">
        <v>250</v>
      </c>
      <c r="D83" s="19">
        <v>225</v>
      </c>
      <c r="E83" s="19">
        <v>200</v>
      </c>
      <c r="F83" s="23">
        <f>E83+F123</f>
        <v>190</v>
      </c>
      <c r="G83" s="23">
        <f t="shared" ref="G83:J83" si="57">F83+G123</f>
        <v>178</v>
      </c>
      <c r="H83" s="23">
        <f t="shared" si="57"/>
        <v>163</v>
      </c>
      <c r="I83" s="23">
        <f t="shared" si="57"/>
        <v>148</v>
      </c>
      <c r="J83" s="23">
        <f t="shared" si="57"/>
        <v>133</v>
      </c>
    </row>
    <row r="84" spans="2:10" x14ac:dyDescent="0.2">
      <c r="B84" s="2" t="s">
        <v>57</v>
      </c>
      <c r="C84" s="4">
        <f t="shared" ref="C84:E84" si="58">C82+C83</f>
        <v>250.7</v>
      </c>
      <c r="D84" s="4">
        <f t="shared" si="58"/>
        <v>231.9</v>
      </c>
      <c r="E84" s="4">
        <f t="shared" si="58"/>
        <v>208</v>
      </c>
      <c r="F84" s="32">
        <f>F82+F83</f>
        <v>199.252667976</v>
      </c>
      <c r="G84" s="32">
        <f t="shared" ref="G84:J84" si="59">G82+G83</f>
        <v>188.9456626878</v>
      </c>
      <c r="H84" s="32">
        <f t="shared" si="59"/>
        <v>176.12066783374999</v>
      </c>
      <c r="I84" s="32">
        <f t="shared" si="59"/>
        <v>163.77230405143081</v>
      </c>
      <c r="J84" s="32">
        <f t="shared" si="59"/>
        <v>151.92834185807968</v>
      </c>
    </row>
    <row r="85" spans="2:10" x14ac:dyDescent="0.2">
      <c r="C85" s="5"/>
      <c r="D85" s="5"/>
      <c r="E85" s="5"/>
      <c r="F85" s="23"/>
      <c r="G85" s="23"/>
      <c r="H85" s="23"/>
      <c r="I85" s="23"/>
      <c r="J85" s="23"/>
    </row>
    <row r="86" spans="2:10" x14ac:dyDescent="0.2">
      <c r="B86" s="2" t="s">
        <v>29</v>
      </c>
      <c r="C86" s="4">
        <f t="shared" ref="C86:E86" si="60">C80+C84</f>
        <v>273.7</v>
      </c>
      <c r="D86" s="4">
        <f t="shared" si="60"/>
        <v>255.5</v>
      </c>
      <c r="E86" s="4">
        <f t="shared" si="60"/>
        <v>231</v>
      </c>
      <c r="F86" s="32">
        <f>F80+F84</f>
        <v>222.26434148832877</v>
      </c>
      <c r="G86" s="32">
        <f t="shared" ref="G86:J86" si="61">G80+G84</f>
        <v>212.71910888615616</v>
      </c>
      <c r="H86" s="32">
        <f t="shared" si="61"/>
        <v>200.5035281056185</v>
      </c>
      <c r="I86" s="32">
        <f t="shared" si="61"/>
        <v>188.76523959361162</v>
      </c>
      <c r="J86" s="32">
        <f t="shared" si="61"/>
        <v>177.46043344748696</v>
      </c>
    </row>
    <row r="87" spans="2:10" x14ac:dyDescent="0.2">
      <c r="C87" s="5"/>
      <c r="D87" s="5"/>
      <c r="E87" s="5"/>
      <c r="F87" s="23"/>
      <c r="G87" s="23"/>
      <c r="H87" s="23"/>
      <c r="I87" s="23"/>
      <c r="J87" s="23"/>
    </row>
    <row r="88" spans="2:10" x14ac:dyDescent="0.2">
      <c r="B88" s="17" t="s">
        <v>58</v>
      </c>
      <c r="C88" s="19">
        <v>120</v>
      </c>
      <c r="D88" s="19">
        <v>120</v>
      </c>
      <c r="E88" s="19">
        <v>120</v>
      </c>
      <c r="F88" s="23">
        <f>E88+F137</f>
        <v>120</v>
      </c>
      <c r="G88" s="23">
        <f t="shared" ref="G88:J88" si="62">F88+G137</f>
        <v>120</v>
      </c>
      <c r="H88" s="23">
        <f t="shared" si="62"/>
        <v>120</v>
      </c>
      <c r="I88" s="23">
        <f t="shared" si="62"/>
        <v>120</v>
      </c>
      <c r="J88" s="23">
        <f t="shared" si="62"/>
        <v>120</v>
      </c>
    </row>
    <row r="89" spans="2:10" x14ac:dyDescent="0.2">
      <c r="B89" s="17" t="s">
        <v>30</v>
      </c>
      <c r="C89" s="19">
        <v>119.7</v>
      </c>
      <c r="D89" s="19">
        <v>138.69999999999999</v>
      </c>
      <c r="E89" s="19">
        <v>138.5</v>
      </c>
      <c r="F89" s="23">
        <f>E89+F29+F51</f>
        <v>147.08972326399999</v>
      </c>
      <c r="G89" s="23">
        <f t="shared" ref="G89:J89" si="63">F89+G29+G51</f>
        <v>158.69882985919998</v>
      </c>
      <c r="H89" s="23">
        <f t="shared" si="63"/>
        <v>173.61315085999999</v>
      </c>
      <c r="I89" s="23">
        <f t="shared" si="63"/>
        <v>191.79579920981121</v>
      </c>
      <c r="J89" s="23">
        <f t="shared" si="63"/>
        <v>213.43720131254645</v>
      </c>
    </row>
    <row r="90" spans="2:10" x14ac:dyDescent="0.2">
      <c r="B90" s="2" t="s">
        <v>59</v>
      </c>
      <c r="C90" s="4">
        <f t="shared" ref="C90:E90" si="64">C88+C89</f>
        <v>239.7</v>
      </c>
      <c r="D90" s="4">
        <f t="shared" si="64"/>
        <v>258.7</v>
      </c>
      <c r="E90" s="4">
        <f t="shared" si="64"/>
        <v>258.5</v>
      </c>
      <c r="F90" s="32">
        <f>F88+F89</f>
        <v>267.08972326399999</v>
      </c>
      <c r="G90" s="32">
        <f t="shared" ref="G90:J90" si="65">G88+G89</f>
        <v>278.69882985919998</v>
      </c>
      <c r="H90" s="32">
        <f t="shared" si="65"/>
        <v>293.61315086000002</v>
      </c>
      <c r="I90" s="32">
        <f t="shared" si="65"/>
        <v>311.79579920981121</v>
      </c>
      <c r="J90" s="32">
        <f t="shared" si="65"/>
        <v>333.43720131254645</v>
      </c>
    </row>
    <row r="91" spans="2:10" x14ac:dyDescent="0.2">
      <c r="C91" s="5"/>
      <c r="D91" s="5"/>
      <c r="E91" s="5"/>
      <c r="F91" s="23"/>
      <c r="G91" s="23"/>
      <c r="H91" s="23"/>
      <c r="I91" s="23"/>
      <c r="J91" s="23"/>
    </row>
    <row r="92" spans="2:10" ht="16" thickBot="1" x14ac:dyDescent="0.25">
      <c r="B92" s="6" t="s">
        <v>60</v>
      </c>
      <c r="C92" s="7">
        <f t="shared" ref="C92:E92" si="66">C86+C90</f>
        <v>513.4</v>
      </c>
      <c r="D92" s="7">
        <f t="shared" si="66"/>
        <v>514.20000000000005</v>
      </c>
      <c r="E92" s="7">
        <f t="shared" si="66"/>
        <v>489.5</v>
      </c>
      <c r="F92" s="33">
        <f>F86+F90</f>
        <v>489.35406475232878</v>
      </c>
      <c r="G92" s="33">
        <f t="shared" ref="G92:J92" si="67">G86+G90</f>
        <v>491.41793874535614</v>
      </c>
      <c r="H92" s="33">
        <f t="shared" si="67"/>
        <v>494.11667896561852</v>
      </c>
      <c r="I92" s="33">
        <f t="shared" si="67"/>
        <v>500.56103880342283</v>
      </c>
      <c r="J92" s="33">
        <f t="shared" si="67"/>
        <v>510.89763476003338</v>
      </c>
    </row>
    <row r="93" spans="2:10" ht="16" thickTop="1" x14ac:dyDescent="0.2"/>
    <row r="94" spans="2:10" x14ac:dyDescent="0.2">
      <c r="B94" t="s">
        <v>95</v>
      </c>
      <c r="C94" s="21">
        <f>C74-C92</f>
        <v>0</v>
      </c>
      <c r="D94" s="21">
        <f>D74-D92</f>
        <v>0</v>
      </c>
      <c r="E94" s="21">
        <f>E74-E92</f>
        <v>0</v>
      </c>
      <c r="F94" s="34">
        <f>F74-F92</f>
        <v>0</v>
      </c>
      <c r="G94" s="34">
        <f>G74-G92</f>
        <v>0</v>
      </c>
      <c r="H94" s="34">
        <f>H74-H92</f>
        <v>0</v>
      </c>
      <c r="I94" s="34">
        <f>I74-I92</f>
        <v>0</v>
      </c>
      <c r="J94" s="34">
        <f>J74-J92</f>
        <v>0</v>
      </c>
    </row>
    <row r="96" spans="2:10" ht="19" x14ac:dyDescent="0.25">
      <c r="B96" s="26" t="s">
        <v>73</v>
      </c>
      <c r="C96" s="27"/>
      <c r="D96" s="27"/>
      <c r="E96" s="27"/>
      <c r="F96" s="27"/>
      <c r="G96" s="27"/>
      <c r="H96" s="27"/>
      <c r="I96" s="27"/>
      <c r="J96" s="26"/>
    </row>
    <row r="97" spans="2:10" x14ac:dyDescent="0.2">
      <c r="B97" s="22"/>
      <c r="C97" s="24"/>
      <c r="D97" s="24"/>
      <c r="E97" s="24"/>
      <c r="F97" s="24"/>
      <c r="G97" s="24"/>
      <c r="H97" s="24"/>
      <c r="I97" s="24"/>
      <c r="J97" s="22"/>
    </row>
    <row r="98" spans="2:10" ht="19" x14ac:dyDescent="0.25">
      <c r="B98" s="27"/>
      <c r="C98" s="27" t="s">
        <v>0</v>
      </c>
      <c r="D98" s="27" t="s">
        <v>1</v>
      </c>
      <c r="E98" s="27" t="s">
        <v>2</v>
      </c>
      <c r="F98" s="27" t="s">
        <v>61</v>
      </c>
      <c r="G98" s="27" t="s">
        <v>62</v>
      </c>
      <c r="H98" s="27" t="s">
        <v>63</v>
      </c>
      <c r="I98" s="27" t="s">
        <v>64</v>
      </c>
      <c r="J98" s="27" t="s">
        <v>65</v>
      </c>
    </row>
    <row r="99" spans="2:10" ht="16" thickBot="1" x14ac:dyDescent="0.25">
      <c r="B99" s="28" t="s">
        <v>21</v>
      </c>
      <c r="C99" s="29"/>
      <c r="D99" s="29"/>
      <c r="E99" s="29"/>
      <c r="F99" s="29"/>
      <c r="G99" s="29"/>
      <c r="H99" s="29"/>
      <c r="I99" s="29"/>
      <c r="J99" s="28"/>
    </row>
    <row r="100" spans="2:10" x14ac:dyDescent="0.2">
      <c r="B100" s="22"/>
      <c r="C100" s="24"/>
      <c r="D100" s="24"/>
      <c r="E100" s="24"/>
      <c r="F100" s="24"/>
      <c r="G100" s="24"/>
      <c r="H100" s="24"/>
      <c r="I100" s="24"/>
      <c r="J100" s="22"/>
    </row>
    <row r="101" spans="2:10" x14ac:dyDescent="0.2">
      <c r="B101" s="30" t="s">
        <v>74</v>
      </c>
      <c r="C101" s="31"/>
      <c r="D101" s="31"/>
      <c r="E101" s="31"/>
      <c r="F101" s="31"/>
      <c r="G101" s="31"/>
      <c r="H101" s="31"/>
      <c r="I101" s="31"/>
      <c r="J101" s="30"/>
    </row>
    <row r="102" spans="2:10" x14ac:dyDescent="0.2">
      <c r="B102" s="22" t="s">
        <v>66</v>
      </c>
      <c r="C102" s="35"/>
      <c r="D102" s="35">
        <f>(D8-C8)/C8</f>
        <v>0.10008169934640522</v>
      </c>
      <c r="E102" s="35">
        <f>(E8-D8)/D8</f>
        <v>-0.11177125881916086</v>
      </c>
      <c r="F102" s="37">
        <v>0.03</v>
      </c>
      <c r="G102" s="37">
        <v>0.05</v>
      </c>
      <c r="H102" s="37">
        <v>0.04</v>
      </c>
      <c r="I102" s="37">
        <v>0.04</v>
      </c>
      <c r="J102" s="38">
        <v>3.5000000000000003E-2</v>
      </c>
    </row>
    <row r="103" spans="2:10" x14ac:dyDescent="0.2">
      <c r="B103" s="22" t="s">
        <v>75</v>
      </c>
      <c r="C103" s="35">
        <f>C9/C8</f>
        <v>0.127859477124183</v>
      </c>
      <c r="D103" s="35">
        <f>D9/D8</f>
        <v>0.12142591904938731</v>
      </c>
      <c r="E103" s="35">
        <f>E9/E8</f>
        <v>0.14381270903010032</v>
      </c>
      <c r="F103" s="37">
        <v>0.14000000000000001</v>
      </c>
      <c r="G103" s="37">
        <v>0.14000000000000001</v>
      </c>
      <c r="H103" s="37">
        <v>0.13500000000000001</v>
      </c>
      <c r="I103" s="37">
        <v>0.13500000000000001</v>
      </c>
      <c r="J103" s="38">
        <v>0.13</v>
      </c>
    </row>
    <row r="104" spans="2:10" x14ac:dyDescent="0.2">
      <c r="B104" s="22"/>
      <c r="C104" s="24"/>
      <c r="D104" s="24"/>
      <c r="E104" s="24"/>
      <c r="F104" s="24"/>
      <c r="G104" s="24"/>
      <c r="H104" s="24"/>
      <c r="I104" s="24"/>
      <c r="J104" s="22"/>
    </row>
    <row r="105" spans="2:10" x14ac:dyDescent="0.2">
      <c r="B105" s="30" t="s">
        <v>76</v>
      </c>
      <c r="C105" s="31"/>
      <c r="D105" s="31"/>
      <c r="E105" s="31"/>
      <c r="F105" s="31"/>
      <c r="G105" s="31"/>
      <c r="H105" s="31"/>
      <c r="I105" s="31"/>
      <c r="J105" s="30"/>
    </row>
    <row r="106" spans="2:10" x14ac:dyDescent="0.2">
      <c r="B106" s="22" t="s">
        <v>77</v>
      </c>
      <c r="C106" s="35">
        <f>C12/C10</f>
        <v>0.74894613583138181</v>
      </c>
      <c r="D106" s="35">
        <f>D12/D10</f>
        <v>0.69568892645815716</v>
      </c>
      <c r="E106" s="35">
        <f>E12/E10</f>
        <v>0.81982421875000011</v>
      </c>
      <c r="F106" s="37">
        <v>0.78</v>
      </c>
      <c r="G106" s="37">
        <v>0.77</v>
      </c>
      <c r="H106" s="37">
        <v>0.76</v>
      </c>
      <c r="I106" s="37">
        <v>0.75</v>
      </c>
      <c r="J106" s="38">
        <v>0.74</v>
      </c>
    </row>
    <row r="107" spans="2:10" x14ac:dyDescent="0.2">
      <c r="B107" s="22" t="s">
        <v>67</v>
      </c>
      <c r="C107" s="35">
        <f>C13/C10</f>
        <v>1.5925058548009366E-2</v>
      </c>
      <c r="D107" s="35">
        <f>D13/D10</f>
        <v>1.5215553677092137E-2</v>
      </c>
      <c r="E107" s="35">
        <f>E13/E10</f>
        <v>1.85546875E-2</v>
      </c>
      <c r="F107" s="37">
        <v>1.6E-2</v>
      </c>
      <c r="G107" s="37">
        <v>1.6E-2</v>
      </c>
      <c r="H107" s="37">
        <v>1.4999999999999999E-2</v>
      </c>
      <c r="I107" s="37">
        <v>1.4999999999999999E-2</v>
      </c>
      <c r="J107" s="38">
        <v>1.4999999999999999E-2</v>
      </c>
    </row>
    <row r="108" spans="2:10" x14ac:dyDescent="0.2">
      <c r="B108" s="22" t="s">
        <v>78</v>
      </c>
      <c r="C108" s="25">
        <f>C16</f>
        <v>0</v>
      </c>
      <c r="D108" s="25">
        <f>D16</f>
        <v>0</v>
      </c>
      <c r="E108" s="25">
        <f>E16</f>
        <v>0</v>
      </c>
      <c r="F108" s="39">
        <v>0</v>
      </c>
      <c r="G108" s="39">
        <v>0</v>
      </c>
      <c r="H108" s="39">
        <v>0</v>
      </c>
      <c r="I108" s="39">
        <v>0</v>
      </c>
      <c r="J108" s="40">
        <v>0</v>
      </c>
    </row>
    <row r="109" spans="2:10" x14ac:dyDescent="0.2">
      <c r="B109" s="22"/>
      <c r="C109" s="24"/>
      <c r="D109" s="24"/>
      <c r="E109" s="24"/>
      <c r="F109" s="24"/>
      <c r="G109" s="24"/>
      <c r="H109" s="24"/>
      <c r="I109" s="24"/>
      <c r="J109" s="22"/>
    </row>
    <row r="110" spans="2:10" x14ac:dyDescent="0.2">
      <c r="B110" s="30" t="s">
        <v>79</v>
      </c>
      <c r="C110" s="31"/>
      <c r="D110" s="31"/>
      <c r="E110" s="31"/>
      <c r="F110" s="31"/>
      <c r="G110" s="31"/>
      <c r="H110" s="31"/>
      <c r="I110" s="31"/>
      <c r="J110" s="30"/>
    </row>
    <row r="111" spans="2:10" x14ac:dyDescent="0.2">
      <c r="B111" s="22" t="s">
        <v>80</v>
      </c>
      <c r="C111" s="35"/>
      <c r="D111" s="35">
        <f>D19/C70</f>
        <v>3.889585947302384E-2</v>
      </c>
      <c r="E111" s="35">
        <f>E19/D70</f>
        <v>3.9698492462311559E-2</v>
      </c>
      <c r="F111" s="37">
        <v>0.04</v>
      </c>
      <c r="G111" s="37">
        <v>0.04</v>
      </c>
      <c r="H111" s="37">
        <v>0.04</v>
      </c>
      <c r="I111" s="37">
        <v>0.04</v>
      </c>
      <c r="J111" s="38">
        <v>0.04</v>
      </c>
    </row>
    <row r="112" spans="2:10" x14ac:dyDescent="0.2">
      <c r="B112" s="22"/>
      <c r="C112" s="24"/>
      <c r="D112" s="24"/>
      <c r="E112" s="24"/>
      <c r="F112" s="24"/>
      <c r="G112" s="24"/>
      <c r="H112" s="24"/>
      <c r="I112" s="24"/>
      <c r="J112" s="22"/>
    </row>
    <row r="113" spans="2:10" x14ac:dyDescent="0.2">
      <c r="B113" s="30" t="s">
        <v>81</v>
      </c>
      <c r="C113" s="31"/>
      <c r="D113" s="31"/>
      <c r="E113" s="31"/>
      <c r="F113" s="31"/>
      <c r="G113" s="31"/>
      <c r="H113" s="31"/>
      <c r="I113" s="31"/>
      <c r="J113" s="30"/>
    </row>
    <row r="114" spans="2:10" x14ac:dyDescent="0.2">
      <c r="B114" s="22" t="s">
        <v>82</v>
      </c>
      <c r="C114" s="36">
        <f>C64/C8*365</f>
        <v>40.257352941176471</v>
      </c>
      <c r="D114" s="36">
        <f>D64/D8*365</f>
        <v>37.679168213887856</v>
      </c>
      <c r="E114" s="36">
        <f>E64/E8*365</f>
        <v>43.183528428093645</v>
      </c>
      <c r="F114" s="41">
        <v>42</v>
      </c>
      <c r="G114" s="41">
        <v>41</v>
      </c>
      <c r="H114" s="41">
        <v>40</v>
      </c>
      <c r="I114" s="41">
        <v>40</v>
      </c>
      <c r="J114" s="42">
        <v>40</v>
      </c>
    </row>
    <row r="115" spans="2:10" x14ac:dyDescent="0.2">
      <c r="B115" s="22" t="s">
        <v>83</v>
      </c>
      <c r="C115" s="36">
        <f>C65/C12*365</f>
        <v>83.317698561600992</v>
      </c>
      <c r="D115" s="36">
        <f>D65/D12*365</f>
        <v>80.051640340218725</v>
      </c>
      <c r="E115" s="36">
        <f>E65/E12*365</f>
        <v>76.304347826086953</v>
      </c>
      <c r="F115" s="41">
        <v>76</v>
      </c>
      <c r="G115" s="41">
        <v>74</v>
      </c>
      <c r="H115" s="41">
        <v>72</v>
      </c>
      <c r="I115" s="41">
        <v>70</v>
      </c>
      <c r="J115" s="42">
        <v>68</v>
      </c>
    </row>
    <row r="116" spans="2:10" x14ac:dyDescent="0.2">
      <c r="B116" s="22" t="s">
        <v>84</v>
      </c>
      <c r="C116" s="36">
        <f>C78/C12*365</f>
        <v>41.772983114446525</v>
      </c>
      <c r="D116" s="36">
        <f>D78/D12*365</f>
        <v>41.467193195625761</v>
      </c>
      <c r="E116" s="36">
        <f>E78/E12*365</f>
        <v>39.565217391304344</v>
      </c>
      <c r="F116" s="41">
        <v>40</v>
      </c>
      <c r="G116" s="41">
        <v>40</v>
      </c>
      <c r="H116" s="41">
        <v>40</v>
      </c>
      <c r="I116" s="41">
        <v>40</v>
      </c>
      <c r="J116" s="42">
        <v>40</v>
      </c>
    </row>
    <row r="117" spans="2:10" x14ac:dyDescent="0.2">
      <c r="B117" s="22" t="s">
        <v>24</v>
      </c>
      <c r="C117" s="25">
        <f>C66</f>
        <v>14.6</v>
      </c>
      <c r="D117" s="25">
        <f>D66</f>
        <v>14.4</v>
      </c>
      <c r="E117" s="25">
        <f>E66</f>
        <v>14.9</v>
      </c>
      <c r="F117" s="39">
        <v>15</v>
      </c>
      <c r="G117" s="39">
        <v>15.1</v>
      </c>
      <c r="H117" s="39">
        <v>15.2</v>
      </c>
      <c r="I117" s="39">
        <v>15.3</v>
      </c>
      <c r="J117" s="40">
        <v>15.4</v>
      </c>
    </row>
    <row r="118" spans="2:10" x14ac:dyDescent="0.2">
      <c r="B118" s="22" t="s">
        <v>85</v>
      </c>
      <c r="C118" s="25">
        <f>C67</f>
        <v>1.4</v>
      </c>
      <c r="D118" s="25">
        <f>D67</f>
        <v>1.8</v>
      </c>
      <c r="E118" s="25">
        <f>E67</f>
        <v>1.2</v>
      </c>
      <c r="F118" s="39">
        <v>1.3</v>
      </c>
      <c r="G118" s="39">
        <v>1.3</v>
      </c>
      <c r="H118" s="39">
        <v>1.3</v>
      </c>
      <c r="I118" s="39">
        <v>1.3</v>
      </c>
      <c r="J118" s="40">
        <v>1.3</v>
      </c>
    </row>
    <row r="119" spans="2:10" x14ac:dyDescent="0.2">
      <c r="B119" s="22" t="s">
        <v>86</v>
      </c>
      <c r="C119" s="25">
        <f>C79</f>
        <v>4.7</v>
      </c>
      <c r="D119" s="25">
        <f>D79</f>
        <v>4.9000000000000004</v>
      </c>
      <c r="E119" s="25">
        <f>E79</f>
        <v>4.8</v>
      </c>
      <c r="F119" s="39">
        <v>4.9000000000000004</v>
      </c>
      <c r="G119" s="39">
        <v>5</v>
      </c>
      <c r="H119" s="39">
        <v>5</v>
      </c>
      <c r="I119" s="39">
        <v>5.0999999999999996</v>
      </c>
      <c r="J119" s="40">
        <v>5.0999999999999996</v>
      </c>
    </row>
    <row r="120" spans="2:10" x14ac:dyDescent="0.2">
      <c r="B120" s="30"/>
      <c r="C120" s="31"/>
      <c r="D120" s="31"/>
      <c r="E120" s="31"/>
      <c r="F120" s="31"/>
      <c r="G120" s="31"/>
      <c r="H120" s="31"/>
      <c r="I120" s="31"/>
      <c r="J120" s="30"/>
    </row>
    <row r="121" spans="2:10" x14ac:dyDescent="0.2">
      <c r="B121" s="22" t="s">
        <v>87</v>
      </c>
      <c r="C121" s="24"/>
      <c r="D121" s="24"/>
      <c r="E121" s="24"/>
      <c r="F121" s="24"/>
      <c r="G121" s="24"/>
      <c r="H121" s="24"/>
      <c r="I121" s="24"/>
      <c r="J121" s="22"/>
    </row>
    <row r="122" spans="2:10" x14ac:dyDescent="0.2">
      <c r="B122" s="22" t="s">
        <v>70</v>
      </c>
      <c r="C122" s="35"/>
      <c r="D122" s="35">
        <f>D22/C83</f>
        <v>0.06</v>
      </c>
      <c r="E122" s="35">
        <f>E22/D83</f>
        <v>6.222222222222222E-2</v>
      </c>
      <c r="F122" s="37">
        <v>6.5000000000000002E-2</v>
      </c>
      <c r="G122" s="37">
        <v>6.5000000000000002E-2</v>
      </c>
      <c r="H122" s="37">
        <v>6.5000000000000002E-2</v>
      </c>
      <c r="I122" s="37">
        <v>6.5000000000000002E-2</v>
      </c>
      <c r="J122" s="38">
        <v>6.5000000000000002E-2</v>
      </c>
    </row>
    <row r="123" spans="2:10" x14ac:dyDescent="0.2">
      <c r="B123" s="22" t="s">
        <v>88</v>
      </c>
      <c r="C123" s="25">
        <f>C49</f>
        <v>-25</v>
      </c>
      <c r="D123" s="25">
        <f>D49</f>
        <v>-25</v>
      </c>
      <c r="E123" s="25">
        <f>E49</f>
        <v>-25</v>
      </c>
      <c r="F123" s="39">
        <v>-10</v>
      </c>
      <c r="G123" s="39">
        <v>-12</v>
      </c>
      <c r="H123" s="39">
        <v>-15</v>
      </c>
      <c r="I123" s="39">
        <v>-15</v>
      </c>
      <c r="J123" s="40">
        <v>-15</v>
      </c>
    </row>
    <row r="124" spans="2:10" x14ac:dyDescent="0.2">
      <c r="B124" s="22" t="s">
        <v>72</v>
      </c>
      <c r="C124" s="25">
        <f>C48</f>
        <v>0</v>
      </c>
      <c r="D124" s="25">
        <f>D48</f>
        <v>0</v>
      </c>
      <c r="E124" s="25">
        <f>E48</f>
        <v>0</v>
      </c>
      <c r="F124" s="39">
        <v>0</v>
      </c>
      <c r="G124" s="39">
        <v>0</v>
      </c>
      <c r="H124" s="39">
        <v>0</v>
      </c>
      <c r="I124" s="39">
        <v>0</v>
      </c>
      <c r="J124" s="40">
        <v>0</v>
      </c>
    </row>
    <row r="125" spans="2:10" x14ac:dyDescent="0.2">
      <c r="B125" s="30"/>
      <c r="C125" s="31"/>
      <c r="D125" s="31"/>
      <c r="E125" s="31"/>
      <c r="F125" s="31"/>
      <c r="G125" s="31"/>
      <c r="H125" s="31"/>
      <c r="I125" s="31"/>
      <c r="J125" s="30"/>
    </row>
    <row r="126" spans="2:10" x14ac:dyDescent="0.2">
      <c r="B126" s="22" t="s">
        <v>89</v>
      </c>
      <c r="C126" s="24"/>
      <c r="D126" s="24"/>
      <c r="E126" s="24"/>
      <c r="F126" s="24"/>
      <c r="G126" s="24"/>
      <c r="H126" s="24"/>
      <c r="I126" s="24"/>
      <c r="J126" s="22"/>
    </row>
    <row r="127" spans="2:10" x14ac:dyDescent="0.2">
      <c r="B127" s="22" t="s">
        <v>68</v>
      </c>
      <c r="C127" s="35">
        <f>IFERROR(C27/C23,0)</f>
        <v>0.28787878787878801</v>
      </c>
      <c r="D127" s="35">
        <f>IFERROR(D27/D23,0)</f>
        <v>0.37467018469656954</v>
      </c>
      <c r="E127" s="35">
        <f>IFERROR(E27/E23,0)</f>
        <v>0.33333333333333687</v>
      </c>
      <c r="F127" s="37">
        <v>0.25</v>
      </c>
      <c r="G127" s="37">
        <v>0.25</v>
      </c>
      <c r="H127" s="37">
        <v>0.25</v>
      </c>
      <c r="I127" s="37">
        <v>0.25</v>
      </c>
      <c r="J127" s="38">
        <v>0.25</v>
      </c>
    </row>
    <row r="128" spans="2:10" x14ac:dyDescent="0.2">
      <c r="B128" s="22" t="s">
        <v>69</v>
      </c>
      <c r="C128" s="35">
        <f>IFERROR(C26/C27,0)</f>
        <v>0.47368421052631582</v>
      </c>
      <c r="D128" s="35">
        <f>IFERROR(D26/D27,0)</f>
        <v>0.43661971830985918</v>
      </c>
      <c r="E128" s="35">
        <f>IFERROR(E26/E27,0)</f>
        <v>1</v>
      </c>
      <c r="F128" s="37">
        <v>0.35</v>
      </c>
      <c r="G128" s="37">
        <v>0.35</v>
      </c>
      <c r="H128" s="37">
        <v>0.35</v>
      </c>
      <c r="I128" s="37">
        <v>0.35</v>
      </c>
      <c r="J128" s="38">
        <v>0.35</v>
      </c>
    </row>
    <row r="129" spans="2:10" x14ac:dyDescent="0.2">
      <c r="B129" s="30"/>
      <c r="C129" s="31"/>
      <c r="D129" s="31"/>
      <c r="E129" s="31"/>
      <c r="F129" s="31"/>
      <c r="G129" s="31"/>
      <c r="H129" s="31"/>
      <c r="I129" s="31"/>
      <c r="J129" s="30"/>
    </row>
    <row r="130" spans="2:10" x14ac:dyDescent="0.2">
      <c r="B130" s="22" t="s">
        <v>90</v>
      </c>
      <c r="C130" s="24"/>
      <c r="D130" s="24"/>
      <c r="E130" s="24"/>
      <c r="F130" s="24"/>
      <c r="G130" s="24"/>
      <c r="H130" s="24"/>
      <c r="I130" s="24"/>
      <c r="J130" s="22"/>
    </row>
    <row r="131" spans="2:10" x14ac:dyDescent="0.2">
      <c r="B131" s="22" t="s">
        <v>38</v>
      </c>
      <c r="C131" s="25">
        <f>C43</f>
        <v>-14.1</v>
      </c>
      <c r="D131" s="25">
        <f>D43</f>
        <v>-15</v>
      </c>
      <c r="E131" s="25">
        <f>E43</f>
        <v>-15.5</v>
      </c>
      <c r="F131" s="39">
        <v>-16</v>
      </c>
      <c r="G131" s="39">
        <v>-16.5</v>
      </c>
      <c r="H131" s="39">
        <v>-17</v>
      </c>
      <c r="I131" s="39">
        <v>-17.5</v>
      </c>
      <c r="J131" s="40">
        <v>-18</v>
      </c>
    </row>
    <row r="132" spans="2:10" x14ac:dyDescent="0.2">
      <c r="B132" s="22" t="s">
        <v>91</v>
      </c>
      <c r="C132" s="25">
        <f>C44</f>
        <v>-5</v>
      </c>
      <c r="D132" s="25">
        <f>D44</f>
        <v>4</v>
      </c>
      <c r="E132" s="25">
        <f>E44</f>
        <v>3</v>
      </c>
      <c r="F132" s="39">
        <v>0</v>
      </c>
      <c r="G132" s="39">
        <v>0</v>
      </c>
      <c r="H132" s="39">
        <v>0</v>
      </c>
      <c r="I132" s="39">
        <v>0</v>
      </c>
      <c r="J132" s="40">
        <v>0</v>
      </c>
    </row>
    <row r="133" spans="2:10" x14ac:dyDescent="0.2">
      <c r="B133" s="22" t="s">
        <v>92</v>
      </c>
      <c r="C133" s="25">
        <f>C71</f>
        <v>19</v>
      </c>
      <c r="D133" s="25">
        <f>D71</f>
        <v>15</v>
      </c>
      <c r="E133" s="25">
        <f>E71</f>
        <v>12</v>
      </c>
      <c r="F133" s="39">
        <v>10</v>
      </c>
      <c r="G133" s="39">
        <v>9</v>
      </c>
      <c r="H133" s="39">
        <v>8</v>
      </c>
      <c r="I133" s="39">
        <v>7</v>
      </c>
      <c r="J133" s="40">
        <v>6</v>
      </c>
    </row>
    <row r="134" spans="2:10" x14ac:dyDescent="0.2">
      <c r="B134" s="30"/>
      <c r="C134" s="31"/>
      <c r="D134" s="31"/>
      <c r="E134" s="31"/>
      <c r="F134" s="31"/>
      <c r="G134" s="31"/>
      <c r="H134" s="31"/>
      <c r="I134" s="31"/>
      <c r="J134" s="30"/>
    </row>
    <row r="135" spans="2:10" x14ac:dyDescent="0.2">
      <c r="B135" s="22" t="s">
        <v>93</v>
      </c>
      <c r="C135" s="24"/>
      <c r="D135" s="24"/>
      <c r="E135" s="24"/>
      <c r="F135" s="24"/>
      <c r="G135" s="24"/>
      <c r="H135" s="24"/>
      <c r="I135" s="24"/>
      <c r="J135" s="22"/>
    </row>
    <row r="136" spans="2:10" x14ac:dyDescent="0.2">
      <c r="B136" s="22" t="s">
        <v>71</v>
      </c>
      <c r="C136" s="35">
        <f>IFERROR(-C51/C29,0)</f>
        <v>0.19858156028368806</v>
      </c>
      <c r="D136" s="35">
        <f>IFERROR(-D51/D29,0)</f>
        <v>0.19831223628691955</v>
      </c>
      <c r="E136" s="35">
        <f>IFERROR(-E51/E29,0)</f>
        <v>1.0909090909091081</v>
      </c>
      <c r="F136" s="37">
        <v>0.2</v>
      </c>
      <c r="G136" s="37">
        <v>0.2</v>
      </c>
      <c r="H136" s="37">
        <v>0.2</v>
      </c>
      <c r="I136" s="37">
        <v>0.2</v>
      </c>
      <c r="J136" s="38">
        <v>0.2</v>
      </c>
    </row>
    <row r="137" spans="2:10" x14ac:dyDescent="0.2">
      <c r="B137" s="22" t="s">
        <v>94</v>
      </c>
      <c r="C137" s="25">
        <f>C50</f>
        <v>0</v>
      </c>
      <c r="D137" s="25">
        <f>D50</f>
        <v>0</v>
      </c>
      <c r="E137" s="25">
        <f>E50</f>
        <v>0</v>
      </c>
      <c r="F137" s="39">
        <v>0</v>
      </c>
      <c r="G137" s="39">
        <v>0</v>
      </c>
      <c r="H137" s="39">
        <v>0</v>
      </c>
      <c r="I137" s="39">
        <v>0</v>
      </c>
      <c r="J137" s="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Ingraham</dc:creator>
  <cp:lastModifiedBy>David Ingraham</cp:lastModifiedBy>
  <dcterms:created xsi:type="dcterms:W3CDTF">2026-02-05T23:40:38Z</dcterms:created>
  <dcterms:modified xsi:type="dcterms:W3CDTF">2026-02-09T22:55:11Z</dcterms:modified>
</cp:coreProperties>
</file>
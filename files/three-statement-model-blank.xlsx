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ingraham/Desktop/"/>
    </mc:Choice>
  </mc:AlternateContent>
  <xr:revisionPtr revIDLastSave="0" documentId="13_ncr:1_{4C76A1DC-F284-CA43-9050-59090187CB1B}" xr6:coauthVersionLast="47" xr6:coauthVersionMax="47" xr10:uidLastSave="{00000000-0000-0000-0000-000000000000}"/>
  <bookViews>
    <workbookView xWindow="25600" yWindow="600" windowWidth="25600" windowHeight="27240" xr2:uid="{F40DE117-81A4-2645-A9FD-5FBD92333832}"/>
  </bookViews>
  <sheets>
    <sheet name="Financials" sheetId="2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2" l="1"/>
  <c r="D68" i="2"/>
  <c r="E68" i="2"/>
  <c r="C72" i="2"/>
  <c r="D72" i="2"/>
  <c r="E72" i="2"/>
  <c r="C80" i="2"/>
  <c r="D80" i="2"/>
  <c r="E80" i="2"/>
  <c r="E86" i="2" s="1"/>
  <c r="E92" i="2" s="1"/>
  <c r="C84" i="2"/>
  <c r="D84" i="2"/>
  <c r="E84" i="2"/>
  <c r="C90" i="2"/>
  <c r="D90" i="2"/>
  <c r="E90" i="2"/>
  <c r="C40" i="2"/>
  <c r="D40" i="2"/>
  <c r="E40" i="2"/>
  <c r="C45" i="2"/>
  <c r="D45" i="2"/>
  <c r="E45" i="2"/>
  <c r="C52" i="2"/>
  <c r="D52" i="2"/>
  <c r="E52" i="2"/>
  <c r="C10" i="2"/>
  <c r="C17" i="2" s="1"/>
  <c r="C20" i="2" s="1"/>
  <c r="C23" i="2" s="1"/>
  <c r="D10" i="2"/>
  <c r="E10" i="2"/>
  <c r="C14" i="2"/>
  <c r="D14" i="2"/>
  <c r="E14" i="2"/>
  <c r="C27" i="2"/>
  <c r="D27" i="2"/>
  <c r="E27" i="2"/>
  <c r="E54" i="2" l="1"/>
  <c r="E56" i="2" s="1"/>
  <c r="D74" i="2"/>
  <c r="C74" i="2"/>
  <c r="C29" i="2"/>
  <c r="D86" i="2"/>
  <c r="D92" i="2" s="1"/>
  <c r="C54" i="2"/>
  <c r="C56" i="2" s="1"/>
  <c r="C86" i="2"/>
  <c r="C92" i="2" s="1"/>
  <c r="E74" i="2"/>
  <c r="D17" i="2"/>
  <c r="D20" i="2" s="1"/>
  <c r="D23" i="2" s="1"/>
  <c r="D29" i="2" s="1"/>
  <c r="D54" i="2"/>
  <c r="D56" i="2" s="1"/>
  <c r="E17" i="2"/>
  <c r="E20" i="2" s="1"/>
  <c r="E23" i="2" s="1"/>
  <c r="E29" i="2" s="1"/>
</calcChain>
</file>

<file path=xl/sharedStrings.xml><?xml version="1.0" encoding="utf-8"?>
<sst xmlns="http://schemas.openxmlformats.org/spreadsheetml/2006/main" count="73" uniqueCount="61">
  <si>
    <t>F2022A</t>
  </si>
  <si>
    <t>F2023A</t>
  </si>
  <si>
    <t>F2024A</t>
  </si>
  <si>
    <t>Gross Revenue</t>
  </si>
  <si>
    <t>Freight &amp; Warehousing</t>
  </si>
  <si>
    <t>Net Revenue</t>
  </si>
  <si>
    <t>Cost of Sales</t>
  </si>
  <si>
    <t>SG&amp;A</t>
  </si>
  <si>
    <t>Total Costs</t>
  </si>
  <si>
    <t>Cost Adjustments - Gain/(Loss)</t>
  </si>
  <si>
    <t>EBITDA</t>
  </si>
  <si>
    <t>Depreciation</t>
  </si>
  <si>
    <t>EBIT</t>
  </si>
  <si>
    <t>Interest Expense</t>
  </si>
  <si>
    <t>EBT</t>
  </si>
  <si>
    <t>Current Taxes</t>
  </si>
  <si>
    <t>Deferred Income Taxes</t>
  </si>
  <si>
    <t>Total Income Taxes</t>
  </si>
  <si>
    <t>Net Income to Common</t>
  </si>
  <si>
    <t>Henderson Manufacturing</t>
  </si>
  <si>
    <t>Income Statement</t>
  </si>
  <si>
    <t>($ Millions)</t>
  </si>
  <si>
    <t>Accounts Receivable</t>
  </si>
  <si>
    <t>Inventory</t>
  </si>
  <si>
    <t>Prepaid Expenses</t>
  </si>
  <si>
    <t>Total Current Assets</t>
  </si>
  <si>
    <t>Total Assets</t>
  </si>
  <si>
    <t>Accounts Payable</t>
  </si>
  <si>
    <t>Total Current Liabilities</t>
  </si>
  <si>
    <t>Total Liabilities</t>
  </si>
  <si>
    <t>Retained Earnings</t>
  </si>
  <si>
    <t>Balance Sheet</t>
  </si>
  <si>
    <t>Cash Flow Statement</t>
  </si>
  <si>
    <t>Operating Activities</t>
  </si>
  <si>
    <t>Net Income</t>
  </si>
  <si>
    <t>Changes in Working Capital</t>
  </si>
  <si>
    <t>Operating Cash Flow</t>
  </si>
  <si>
    <t>Investing Activities</t>
  </si>
  <si>
    <t>CAPEX</t>
  </si>
  <si>
    <t>Other</t>
  </si>
  <si>
    <t>Investing Cash Flow</t>
  </si>
  <si>
    <t>Financing Activities</t>
  </si>
  <si>
    <t>Revolver Issuance / (Repayment)</t>
  </si>
  <si>
    <t>Total Term Debt Issuance / (Repayment)</t>
  </si>
  <si>
    <t>Common Shares Issuance/ (Buy-Back)</t>
  </si>
  <si>
    <t>Common Dividends</t>
  </si>
  <si>
    <t>Financing Cash Flow</t>
  </si>
  <si>
    <t>Change in Cash Position</t>
  </si>
  <si>
    <t>Beginning Cash</t>
  </si>
  <si>
    <t>Ending Cash</t>
  </si>
  <si>
    <t>ASSETS</t>
  </si>
  <si>
    <t>Cash and Equivalents</t>
  </si>
  <si>
    <t>Net PP&amp;E</t>
  </si>
  <si>
    <t>Total Long Term Assets</t>
  </si>
  <si>
    <t>LIABILITIES AND EQUITY</t>
  </si>
  <si>
    <t>Bank Debt - Revolver</t>
  </si>
  <si>
    <t>Senior Secured Term Debt</t>
  </si>
  <si>
    <t>Total Long Term Liabilities</t>
  </si>
  <si>
    <t>Common Shares</t>
  </si>
  <si>
    <t>Shareholder's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</si>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</sst>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&quot;$&quot;#,##0.0"/>
    <numFmt numFmtId="166" formatCode="#,##0.0;\(#,##0.0\)"/>
    <numFmt numFmtId="167" formatCode="&quot;$&quot;#,##0.0;\(&quot;$&quot;#,##0.0\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0" xfId="0" applyNumberFormat="1" applyFont="1"/>
    <xf numFmtId="164" fontId="1" fillId="0" borderId="1" xfId="0" applyNumberFormat="1" applyFont="1" applyBorder="1"/>
    <xf numFmtId="164" fontId="0" fillId="0" borderId="0" xfId="0" applyNumberFormat="1"/>
    <xf numFmtId="0" fontId="1" fillId="0" borderId="2" xfId="0" applyFont="1" applyBorder="1"/>
    <xf numFmtId="165" fontId="1" fillId="0" borderId="2" xfId="0" applyNumberFormat="1" applyFont="1" applyBorder="1"/>
    <xf numFmtId="0" fontId="3" fillId="0" borderId="0" xfId="0" applyFont="1" applyAlignment="1">
      <alignment horizontal="center"/>
    </xf>
    <xf numFmtId="166" fontId="0" fillId="0" borderId="0" xfId="0" applyNumberFormat="1"/>
    <xf numFmtId="166" fontId="1" fillId="0" borderId="2" xfId="0" applyNumberFormat="1" applyFont="1" applyBorder="1"/>
    <xf numFmtId="164" fontId="3" fillId="0" borderId="0" xfId="0" applyNumberFormat="1" applyFont="1" applyAlignment="1">
      <alignment horizontal="center"/>
    </xf>
    <xf numFmtId="0" fontId="2" fillId="0" borderId="3" xfId="0" applyFont="1" applyBorder="1"/>
    <xf numFmtId="164" fontId="2" fillId="0" borderId="3" xfId="0" applyNumberFormat="1" applyFont="1" applyBorder="1"/>
    <xf numFmtId="166" fontId="3" fillId="0" borderId="0" xfId="0" applyNumberFormat="1" applyFont="1" applyAlignment="1">
      <alignment horizontal="center"/>
    </xf>
    <xf numFmtId="0" fontId="4" fillId="0" borderId="0" xfId="0" applyFont="1"/>
    <xf numFmtId="166" fontId="4" fillId="0" borderId="0" xfId="0" applyNumberFormat="1" applyFont="1"/>
    <xf numFmtId="0" fontId="0" fillId="0" borderId="0" xfId="0" applyAlignment="1">
      <alignment indent="1"/>
    </xf>
    <xf numFmtId="167" fontId="1" fillId="0" borderId="1" xfId="0" applyNumberFormat="1" applyFont="1" applyBorder="1"/>
    <xf numFmtId="164" fontId="5" fillId="0" borderId="0" xfId="0" applyNumberFormat="1" applyFont="1"/>
    <xf numFmtId="16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0E1D28-FF9A-FD45-A4BA-F0034EFA2F42}">
  <we:reference id="wa200008526" version="2.0.0.0" store="en-US" storeType="OMEX"/>
  <we:alternateReferences>
    <we:reference id="wa200008526" version="2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817A-DC42-A244-89D8-C30A434496C6}">
  <dimension ref="B2:E93"/>
  <sheetViews>
    <sheetView tabSelected="1" workbookViewId="0">
      <selection activeCell="A21" sqref="A21"/>
    </sheetView>
  </sheetViews>
  <sheetFormatPr baseColWidth="10" defaultRowHeight="15" x14ac:dyDescent="0.2"/>
  <cols>
    <col min="2" max="2" width="32.6640625" bestFit="1" customWidth="1"/>
    <col min="3" max="5" width="9.83203125" bestFit="1" customWidth="1"/>
  </cols>
  <sheetData>
    <row r="2" spans="2:5" ht="19" x14ac:dyDescent="0.25">
      <c r="C2" s="8" t="s">
        <v>0</v>
      </c>
      <c r="D2" s="8" t="s">
        <v>1</v>
      </c>
      <c r="E2" s="8" t="s">
        <v>2</v>
      </c>
    </row>
    <row r="3" spans="2:5" ht="19" x14ac:dyDescent="0.25">
      <c r="B3" s="8" t="s">
        <v>19</v>
      </c>
      <c r="C3" s="11"/>
      <c r="D3" s="11"/>
      <c r="E3" s="11"/>
    </row>
    <row r="4" spans="2:5" ht="19" x14ac:dyDescent="0.25">
      <c r="B4" s="8" t="s">
        <v>20</v>
      </c>
      <c r="C4" s="11"/>
      <c r="D4" s="11"/>
      <c r="E4" s="11"/>
    </row>
    <row r="5" spans="2:5" x14ac:dyDescent="0.2">
      <c r="C5" s="5"/>
      <c r="D5" s="5"/>
      <c r="E5" s="5"/>
    </row>
    <row r="6" spans="2:5" ht="16" thickBot="1" x14ac:dyDescent="0.25">
      <c r="B6" s="12" t="s">
        <v>21</v>
      </c>
      <c r="C6" s="13"/>
      <c r="D6" s="13"/>
      <c r="E6" s="13"/>
    </row>
    <row r="7" spans="2:5" x14ac:dyDescent="0.2">
      <c r="C7" s="5"/>
      <c r="D7" s="5"/>
      <c r="E7" s="5"/>
    </row>
    <row r="8" spans="2:5" x14ac:dyDescent="0.2">
      <c r="B8" t="s">
        <v>3</v>
      </c>
      <c r="C8" s="19">
        <v>244.8</v>
      </c>
      <c r="D8" s="19">
        <v>269.3</v>
      </c>
      <c r="E8" s="19">
        <v>239.2</v>
      </c>
    </row>
    <row r="9" spans="2:5" x14ac:dyDescent="0.2">
      <c r="B9" t="s">
        <v>4</v>
      </c>
      <c r="C9" s="19">
        <v>31.3</v>
      </c>
      <c r="D9" s="19">
        <v>32.700000000000003</v>
      </c>
      <c r="E9" s="19">
        <v>34.4</v>
      </c>
    </row>
    <row r="10" spans="2:5" x14ac:dyDescent="0.2">
      <c r="B10" s="2" t="s">
        <v>5</v>
      </c>
      <c r="C10" s="4">
        <f t="shared" ref="C10:E10" si="0">C8-C9</f>
        <v>213.5</v>
      </c>
      <c r="D10" s="4">
        <f t="shared" si="0"/>
        <v>236.60000000000002</v>
      </c>
      <c r="E10" s="4">
        <f t="shared" si="0"/>
        <v>204.79999999999998</v>
      </c>
    </row>
    <row r="11" spans="2:5" x14ac:dyDescent="0.2">
      <c r="C11" s="5"/>
      <c r="D11" s="5"/>
      <c r="E11" s="5"/>
    </row>
    <row r="12" spans="2:5" x14ac:dyDescent="0.2">
      <c r="B12" t="s">
        <v>6</v>
      </c>
      <c r="C12" s="19">
        <v>159.9</v>
      </c>
      <c r="D12" s="19">
        <v>164.6</v>
      </c>
      <c r="E12" s="19">
        <v>167.9</v>
      </c>
    </row>
    <row r="13" spans="2:5" x14ac:dyDescent="0.2">
      <c r="B13" t="s">
        <v>7</v>
      </c>
      <c r="C13" s="19">
        <v>3.4</v>
      </c>
      <c r="D13" s="19">
        <v>3.6</v>
      </c>
      <c r="E13" s="19">
        <v>3.8</v>
      </c>
    </row>
    <row r="14" spans="2:5" x14ac:dyDescent="0.2">
      <c r="B14" s="2" t="s">
        <v>8</v>
      </c>
      <c r="C14" s="4">
        <f t="shared" ref="C14:E14" si="1">C12+C13</f>
        <v>163.30000000000001</v>
      </c>
      <c r="D14" s="4">
        <f t="shared" si="1"/>
        <v>168.2</v>
      </c>
      <c r="E14" s="4">
        <f t="shared" si="1"/>
        <v>171.70000000000002</v>
      </c>
    </row>
    <row r="15" spans="2:5" x14ac:dyDescent="0.2">
      <c r="C15" s="5"/>
      <c r="D15" s="5"/>
      <c r="E15" s="5"/>
    </row>
    <row r="16" spans="2:5" x14ac:dyDescent="0.2">
      <c r="B16" t="s">
        <v>9</v>
      </c>
      <c r="C16" s="19">
        <v>0</v>
      </c>
      <c r="D16" s="19">
        <v>0</v>
      </c>
      <c r="E16" s="19">
        <v>0</v>
      </c>
    </row>
    <row r="17" spans="2:5" x14ac:dyDescent="0.2">
      <c r="B17" s="2" t="s">
        <v>10</v>
      </c>
      <c r="C17" s="4">
        <f t="shared" ref="C17:E17" si="2">C10-C14+C16</f>
        <v>50.199999999999989</v>
      </c>
      <c r="D17" s="4">
        <f t="shared" si="2"/>
        <v>68.400000000000034</v>
      </c>
      <c r="E17" s="4">
        <f t="shared" si="2"/>
        <v>33.099999999999966</v>
      </c>
    </row>
    <row r="18" spans="2:5" x14ac:dyDescent="0.2">
      <c r="C18" s="5"/>
      <c r="D18" s="5"/>
      <c r="E18" s="5"/>
    </row>
    <row r="19" spans="2:5" x14ac:dyDescent="0.2">
      <c r="B19" t="s">
        <v>11</v>
      </c>
      <c r="C19" s="19">
        <v>15.4</v>
      </c>
      <c r="D19" s="19">
        <v>15.5</v>
      </c>
      <c r="E19" s="19">
        <v>15.8</v>
      </c>
    </row>
    <row r="20" spans="2:5" x14ac:dyDescent="0.2">
      <c r="B20" s="2" t="s">
        <v>12</v>
      </c>
      <c r="C20" s="4">
        <f t="shared" ref="C20:E20" si="3">C17-C19</f>
        <v>34.79999999999999</v>
      </c>
      <c r="D20" s="4">
        <f t="shared" si="3"/>
        <v>52.900000000000034</v>
      </c>
      <c r="E20" s="4">
        <f t="shared" si="3"/>
        <v>17.299999999999965</v>
      </c>
    </row>
    <row r="21" spans="2:5" x14ac:dyDescent="0.2">
      <c r="C21" s="5"/>
      <c r="D21" s="5"/>
      <c r="E21" s="5"/>
    </row>
    <row r="22" spans="2:5" x14ac:dyDescent="0.2">
      <c r="B22" t="s">
        <v>13</v>
      </c>
      <c r="C22" s="19">
        <v>15</v>
      </c>
      <c r="D22" s="19">
        <v>15</v>
      </c>
      <c r="E22" s="19">
        <v>14</v>
      </c>
    </row>
    <row r="23" spans="2:5" x14ac:dyDescent="0.2">
      <c r="B23" s="2" t="s">
        <v>14</v>
      </c>
      <c r="C23" s="4">
        <f t="shared" ref="C23:E23" si="4">C20-C22</f>
        <v>19.79999999999999</v>
      </c>
      <c r="D23" s="4">
        <f t="shared" si="4"/>
        <v>37.900000000000034</v>
      </c>
      <c r="E23" s="4">
        <f t="shared" si="4"/>
        <v>3.2999999999999652</v>
      </c>
    </row>
    <row r="24" spans="2:5" x14ac:dyDescent="0.2">
      <c r="C24" s="5"/>
      <c r="D24" s="5"/>
      <c r="E24" s="5"/>
    </row>
    <row r="25" spans="2:5" x14ac:dyDescent="0.2">
      <c r="B25" t="s">
        <v>15</v>
      </c>
      <c r="C25" s="19">
        <v>3</v>
      </c>
      <c r="D25" s="19">
        <v>8</v>
      </c>
      <c r="E25" s="19">
        <v>0</v>
      </c>
    </row>
    <row r="26" spans="2:5" x14ac:dyDescent="0.2">
      <c r="B26" t="s">
        <v>16</v>
      </c>
      <c r="C26" s="19">
        <v>2.7</v>
      </c>
      <c r="D26" s="19">
        <v>6.2</v>
      </c>
      <c r="E26" s="19">
        <v>1.1000000000000001</v>
      </c>
    </row>
    <row r="27" spans="2:5" x14ac:dyDescent="0.2">
      <c r="B27" s="2" t="s">
        <v>17</v>
      </c>
      <c r="C27" s="4">
        <f>C25+C26</f>
        <v>5.7</v>
      </c>
      <c r="D27" s="4">
        <f>D25+D26</f>
        <v>14.2</v>
      </c>
      <c r="E27" s="4">
        <f>E25+E26</f>
        <v>1.1000000000000001</v>
      </c>
    </row>
    <row r="28" spans="2:5" x14ac:dyDescent="0.2">
      <c r="C28" s="5"/>
      <c r="D28" s="5"/>
      <c r="E28" s="5"/>
    </row>
    <row r="29" spans="2:5" ht="16" thickBot="1" x14ac:dyDescent="0.25">
      <c r="B29" s="6" t="s">
        <v>18</v>
      </c>
      <c r="C29" s="7">
        <f t="shared" ref="C29:E29" si="5">C23-C27</f>
        <v>14.099999999999991</v>
      </c>
      <c r="D29" s="7">
        <f t="shared" si="5"/>
        <v>23.700000000000035</v>
      </c>
      <c r="E29" s="7">
        <f t="shared" si="5"/>
        <v>2.1999999999999651</v>
      </c>
    </row>
    <row r="30" spans="2:5" ht="16" thickTop="1" x14ac:dyDescent="0.2"/>
    <row r="32" spans="2:5" ht="19" x14ac:dyDescent="0.25">
      <c r="C32" s="8" t="s">
        <v>0</v>
      </c>
      <c r="D32" s="8" t="s">
        <v>1</v>
      </c>
      <c r="E32" s="8" t="s">
        <v>2</v>
      </c>
    </row>
    <row r="33" spans="2:5" ht="19" x14ac:dyDescent="0.25">
      <c r="B33" s="8" t="s">
        <v>32</v>
      </c>
      <c r="C33" s="14"/>
      <c r="D33" s="14"/>
      <c r="E33" s="14"/>
    </row>
    <row r="34" spans="2:5" x14ac:dyDescent="0.2">
      <c r="C34" s="9"/>
      <c r="D34" s="9"/>
      <c r="E34" s="9"/>
    </row>
    <row r="35" spans="2:5" x14ac:dyDescent="0.2">
      <c r="B35" s="15" t="s">
        <v>33</v>
      </c>
      <c r="C35" s="16"/>
      <c r="D35" s="16"/>
      <c r="E35" s="16"/>
    </row>
    <row r="36" spans="2:5" x14ac:dyDescent="0.2">
      <c r="B36" s="17" t="s">
        <v>34</v>
      </c>
      <c r="C36" s="20">
        <v>14.1</v>
      </c>
      <c r="D36" s="20">
        <v>23.7</v>
      </c>
      <c r="E36" s="20">
        <v>2.2000000000000002</v>
      </c>
    </row>
    <row r="37" spans="2:5" x14ac:dyDescent="0.2">
      <c r="B37" s="17" t="s">
        <v>11</v>
      </c>
      <c r="C37" s="20">
        <v>15.4</v>
      </c>
      <c r="D37" s="20">
        <v>15.5</v>
      </c>
      <c r="E37" s="20">
        <v>15.8</v>
      </c>
    </row>
    <row r="38" spans="2:5" x14ac:dyDescent="0.2">
      <c r="B38" s="17" t="s">
        <v>16</v>
      </c>
      <c r="C38" s="20">
        <v>2.7</v>
      </c>
      <c r="D38" s="20">
        <v>6.2</v>
      </c>
      <c r="E38" s="20">
        <v>1.1000000000000001</v>
      </c>
    </row>
    <row r="39" spans="2:5" x14ac:dyDescent="0.2">
      <c r="B39" s="17" t="s">
        <v>35</v>
      </c>
      <c r="C39" s="20">
        <v>0</v>
      </c>
      <c r="D39" s="20">
        <v>0</v>
      </c>
      <c r="E39" s="20">
        <v>0</v>
      </c>
    </row>
    <row r="40" spans="2:5" x14ac:dyDescent="0.2">
      <c r="B40" s="2" t="s">
        <v>36</v>
      </c>
      <c r="C40" s="18">
        <f>C36+C37+C38+C39</f>
        <v>32.200000000000003</v>
      </c>
      <c r="D40" s="18">
        <f>D36+D37+D38+D39</f>
        <v>45.400000000000006</v>
      </c>
      <c r="E40" s="18">
        <f>E36+E37+E38+E39</f>
        <v>19.100000000000001</v>
      </c>
    </row>
    <row r="41" spans="2:5" x14ac:dyDescent="0.2">
      <c r="C41" s="9"/>
      <c r="D41" s="9"/>
      <c r="E41" s="9"/>
    </row>
    <row r="42" spans="2:5" x14ac:dyDescent="0.2">
      <c r="B42" s="15" t="s">
        <v>37</v>
      </c>
      <c r="C42" s="16"/>
      <c r="D42" s="16"/>
      <c r="E42" s="16"/>
    </row>
    <row r="43" spans="2:5" x14ac:dyDescent="0.2">
      <c r="B43" s="17" t="s">
        <v>38</v>
      </c>
      <c r="C43" s="20">
        <v>-14.1</v>
      </c>
      <c r="D43" s="20">
        <v>-15</v>
      </c>
      <c r="E43" s="20">
        <v>-15.5</v>
      </c>
    </row>
    <row r="44" spans="2:5" x14ac:dyDescent="0.2">
      <c r="B44" s="17" t="s">
        <v>39</v>
      </c>
      <c r="C44" s="20">
        <v>-5</v>
      </c>
      <c r="D44" s="20">
        <v>4</v>
      </c>
      <c r="E44" s="20">
        <v>3</v>
      </c>
    </row>
    <row r="45" spans="2:5" x14ac:dyDescent="0.2">
      <c r="B45" s="2" t="s">
        <v>40</v>
      </c>
      <c r="C45" s="18">
        <f t="shared" ref="C45:E45" si="6">C43+C44</f>
        <v>-19.100000000000001</v>
      </c>
      <c r="D45" s="18">
        <f t="shared" si="6"/>
        <v>-11</v>
      </c>
      <c r="E45" s="18">
        <f t="shared" si="6"/>
        <v>-12.5</v>
      </c>
    </row>
    <row r="46" spans="2:5" x14ac:dyDescent="0.2">
      <c r="C46" s="9"/>
      <c r="D46" s="9"/>
      <c r="E46" s="9"/>
    </row>
    <row r="47" spans="2:5" x14ac:dyDescent="0.2">
      <c r="B47" s="15" t="s">
        <v>41</v>
      </c>
      <c r="C47" s="16"/>
      <c r="D47" s="16"/>
      <c r="E47" s="16"/>
    </row>
    <row r="48" spans="2:5" x14ac:dyDescent="0.2">
      <c r="B48" s="17" t="s">
        <v>42</v>
      </c>
      <c r="C48" s="20">
        <v>0</v>
      </c>
      <c r="D48" s="20">
        <v>0</v>
      </c>
      <c r="E48" s="20">
        <v>0</v>
      </c>
    </row>
    <row r="49" spans="2:5" x14ac:dyDescent="0.2">
      <c r="B49" s="17" t="s">
        <v>43</v>
      </c>
      <c r="C49" s="20">
        <v>-25</v>
      </c>
      <c r="D49" s="20">
        <v>-25</v>
      </c>
      <c r="E49" s="20">
        <v>-25</v>
      </c>
    </row>
    <row r="50" spans="2:5" x14ac:dyDescent="0.2">
      <c r="B50" s="17" t="s">
        <v>44</v>
      </c>
      <c r="C50" s="20">
        <v>0</v>
      </c>
      <c r="D50" s="20">
        <v>0</v>
      </c>
      <c r="E50" s="20">
        <v>0</v>
      </c>
    </row>
    <row r="51" spans="2:5" x14ac:dyDescent="0.2">
      <c r="B51" s="17" t="s">
        <v>45</v>
      </c>
      <c r="C51" s="20">
        <v>-2.8</v>
      </c>
      <c r="D51" s="20">
        <v>-4.7</v>
      </c>
      <c r="E51" s="20">
        <v>-2.4</v>
      </c>
    </row>
    <row r="52" spans="2:5" x14ac:dyDescent="0.2">
      <c r="B52" s="2" t="s">
        <v>46</v>
      </c>
      <c r="C52" s="18">
        <f>C48+C49+C50+C51</f>
        <v>-27.8</v>
      </c>
      <c r="D52" s="18">
        <f>D48+D49+D50+D51</f>
        <v>-29.7</v>
      </c>
      <c r="E52" s="18">
        <f>E48+E49+E50+E51</f>
        <v>-27.4</v>
      </c>
    </row>
    <row r="53" spans="2:5" x14ac:dyDescent="0.2">
      <c r="C53" s="9"/>
      <c r="D53" s="9"/>
      <c r="E53" s="9"/>
    </row>
    <row r="54" spans="2:5" x14ac:dyDescent="0.2">
      <c r="B54" t="s">
        <v>47</v>
      </c>
      <c r="C54" s="9">
        <f t="shared" ref="C54:E54" si="7">C40+C45+C52</f>
        <v>-14.7</v>
      </c>
      <c r="D54" s="9">
        <f t="shared" si="7"/>
        <v>4.7000000000000064</v>
      </c>
      <c r="E54" s="9">
        <f t="shared" si="7"/>
        <v>-20.799999999999997</v>
      </c>
    </row>
    <row r="55" spans="2:5" x14ac:dyDescent="0.2">
      <c r="B55" t="s">
        <v>48</v>
      </c>
      <c r="C55" s="20">
        <v>31.1</v>
      </c>
      <c r="D55" s="20">
        <v>16.399999999999999</v>
      </c>
      <c r="E55" s="20">
        <v>21.1</v>
      </c>
    </row>
    <row r="56" spans="2:5" ht="16" thickBot="1" x14ac:dyDescent="0.25">
      <c r="B56" s="6" t="s">
        <v>49</v>
      </c>
      <c r="C56" s="10">
        <f t="shared" ref="C56:E56" si="8">C55+C54</f>
        <v>16.400000000000002</v>
      </c>
      <c r="D56" s="10">
        <f t="shared" si="8"/>
        <v>21.100000000000005</v>
      </c>
      <c r="E56" s="10">
        <f t="shared" si="8"/>
        <v>0.30000000000000426</v>
      </c>
    </row>
    <row r="57" spans="2:5" ht="16" thickTop="1" x14ac:dyDescent="0.2"/>
    <row r="59" spans="2:5" ht="19" x14ac:dyDescent="0.25">
      <c r="C59" s="8" t="s">
        <v>0</v>
      </c>
      <c r="D59" s="8" t="s">
        <v>1</v>
      </c>
      <c r="E59" s="8" t="s">
        <v>2</v>
      </c>
    </row>
    <row r="60" spans="2:5" ht="19" x14ac:dyDescent="0.25">
      <c r="B60" s="8" t="s">
        <v>31</v>
      </c>
      <c r="C60" s="11"/>
      <c r="D60" s="11"/>
      <c r="E60" s="11"/>
    </row>
    <row r="61" spans="2:5" x14ac:dyDescent="0.2">
      <c r="C61" s="5"/>
      <c r="D61" s="5"/>
      <c r="E61" s="5"/>
    </row>
    <row r="62" spans="2:5" x14ac:dyDescent="0.2">
      <c r="B62" s="1" t="s">
        <v>50</v>
      </c>
      <c r="C62" s="3"/>
      <c r="D62" s="3"/>
      <c r="E62" s="3"/>
    </row>
    <row r="63" spans="2:5" x14ac:dyDescent="0.2">
      <c r="B63" s="17" t="s">
        <v>51</v>
      </c>
      <c r="C63" s="19">
        <v>16.399999999999999</v>
      </c>
      <c r="D63" s="19">
        <v>21.1</v>
      </c>
      <c r="E63" s="19">
        <v>0.3</v>
      </c>
    </row>
    <row r="64" spans="2:5" x14ac:dyDescent="0.2">
      <c r="B64" s="17" t="s">
        <v>22</v>
      </c>
      <c r="C64" s="19">
        <v>27</v>
      </c>
      <c r="D64" s="19">
        <v>27.8</v>
      </c>
      <c r="E64" s="19">
        <v>28.3</v>
      </c>
    </row>
    <row r="65" spans="2:5" x14ac:dyDescent="0.2">
      <c r="B65" s="17" t="s">
        <v>23</v>
      </c>
      <c r="C65" s="19">
        <v>36.5</v>
      </c>
      <c r="D65" s="19">
        <v>36.1</v>
      </c>
      <c r="E65" s="19">
        <v>35.1</v>
      </c>
    </row>
    <row r="66" spans="2:5" x14ac:dyDescent="0.2">
      <c r="B66" s="17" t="s">
        <v>24</v>
      </c>
      <c r="C66" s="19">
        <v>14.6</v>
      </c>
      <c r="D66" s="19">
        <v>14.4</v>
      </c>
      <c r="E66" s="19">
        <v>14.9</v>
      </c>
    </row>
    <row r="67" spans="2:5" x14ac:dyDescent="0.2">
      <c r="B67" s="17" t="s">
        <v>39</v>
      </c>
      <c r="C67" s="19">
        <v>1.4</v>
      </c>
      <c r="D67" s="19">
        <v>1.8</v>
      </c>
      <c r="E67" s="19">
        <v>1.2</v>
      </c>
    </row>
    <row r="68" spans="2:5" x14ac:dyDescent="0.2">
      <c r="B68" s="2" t="s">
        <v>25</v>
      </c>
      <c r="C68" s="4">
        <f>C63+C64+C65+C66+C67</f>
        <v>95.9</v>
      </c>
      <c r="D68" s="4">
        <f>D63+D64+D65+D66+D67</f>
        <v>101.2</v>
      </c>
      <c r="E68" s="4">
        <f>E63+E64+E65+E66+E67</f>
        <v>79.800000000000011</v>
      </c>
    </row>
    <row r="69" spans="2:5" x14ac:dyDescent="0.2">
      <c r="C69" s="5"/>
      <c r="D69" s="5"/>
      <c r="E69" s="5"/>
    </row>
    <row r="70" spans="2:5" x14ac:dyDescent="0.2">
      <c r="B70" s="17" t="s">
        <v>52</v>
      </c>
      <c r="C70" s="19">
        <v>398.5</v>
      </c>
      <c r="D70" s="19">
        <v>398</v>
      </c>
      <c r="E70" s="19">
        <v>397.7</v>
      </c>
    </row>
    <row r="71" spans="2:5" x14ac:dyDescent="0.2">
      <c r="B71" s="17" t="s">
        <v>39</v>
      </c>
      <c r="C71" s="19">
        <v>19</v>
      </c>
      <c r="D71" s="19">
        <v>15</v>
      </c>
      <c r="E71" s="19">
        <v>12</v>
      </c>
    </row>
    <row r="72" spans="2:5" x14ac:dyDescent="0.2">
      <c r="B72" s="2" t="s">
        <v>53</v>
      </c>
      <c r="C72" s="4">
        <f t="shared" ref="C72:E72" si="9">C70+C71</f>
        <v>417.5</v>
      </c>
      <c r="D72" s="4">
        <f t="shared" si="9"/>
        <v>413</v>
      </c>
      <c r="E72" s="4">
        <f t="shared" si="9"/>
        <v>409.7</v>
      </c>
    </row>
    <row r="73" spans="2:5" x14ac:dyDescent="0.2">
      <c r="C73" s="5"/>
      <c r="D73" s="5"/>
      <c r="E73" s="5"/>
    </row>
    <row r="74" spans="2:5" ht="16" thickBot="1" x14ac:dyDescent="0.25">
      <c r="B74" s="6" t="s">
        <v>26</v>
      </c>
      <c r="C74" s="7">
        <f t="shared" ref="C74:E74" si="10">C68+C72</f>
        <v>513.4</v>
      </c>
      <c r="D74" s="7">
        <f t="shared" si="10"/>
        <v>514.20000000000005</v>
      </c>
      <c r="E74" s="7">
        <f t="shared" si="10"/>
        <v>489.5</v>
      </c>
    </row>
    <row r="75" spans="2:5" ht="16" thickTop="1" x14ac:dyDescent="0.2">
      <c r="C75" s="5"/>
      <c r="D75" s="5"/>
      <c r="E75" s="5"/>
    </row>
    <row r="76" spans="2:5" x14ac:dyDescent="0.2">
      <c r="B76" s="1" t="s">
        <v>54</v>
      </c>
      <c r="C76" s="3"/>
      <c r="D76" s="3"/>
      <c r="E76" s="3"/>
    </row>
    <row r="77" spans="2:5" x14ac:dyDescent="0.2">
      <c r="B77" s="17" t="s">
        <v>55</v>
      </c>
      <c r="C77" s="19">
        <v>0</v>
      </c>
      <c r="D77" s="19">
        <v>0</v>
      </c>
      <c r="E77" s="19">
        <v>0</v>
      </c>
    </row>
    <row r="78" spans="2:5" x14ac:dyDescent="0.2">
      <c r="B78" s="17" t="s">
        <v>27</v>
      </c>
      <c r="C78" s="19">
        <v>18.3</v>
      </c>
      <c r="D78" s="19">
        <v>18.7</v>
      </c>
      <c r="E78" s="19">
        <v>18.2</v>
      </c>
    </row>
    <row r="79" spans="2:5" x14ac:dyDescent="0.2">
      <c r="B79" s="17" t="s">
        <v>39</v>
      </c>
      <c r="C79" s="19">
        <v>4.7</v>
      </c>
      <c r="D79" s="19">
        <v>4.9000000000000004</v>
      </c>
      <c r="E79" s="19">
        <v>4.8</v>
      </c>
    </row>
    <row r="80" spans="2:5" x14ac:dyDescent="0.2">
      <c r="B80" s="2" t="s">
        <v>28</v>
      </c>
      <c r="C80" s="4">
        <f>C77+C78+C79</f>
        <v>23</v>
      </c>
      <c r="D80" s="4">
        <f>D77+D78+D79</f>
        <v>23.6</v>
      </c>
      <c r="E80" s="4">
        <f>E77+E78+E79</f>
        <v>23</v>
      </c>
    </row>
    <row r="81" spans="2:5" x14ac:dyDescent="0.2">
      <c r="C81" s="5"/>
      <c r="D81" s="5"/>
      <c r="E81" s="5"/>
    </row>
    <row r="82" spans="2:5" x14ac:dyDescent="0.2">
      <c r="B82" s="17" t="s">
        <v>16</v>
      </c>
      <c r="C82" s="19">
        <v>0.7</v>
      </c>
      <c r="D82" s="19">
        <v>6.9</v>
      </c>
      <c r="E82" s="19">
        <v>8</v>
      </c>
    </row>
    <row r="83" spans="2:5" x14ac:dyDescent="0.2">
      <c r="B83" s="17" t="s">
        <v>56</v>
      </c>
      <c r="C83" s="19">
        <v>250</v>
      </c>
      <c r="D83" s="19">
        <v>225</v>
      </c>
      <c r="E83" s="19">
        <v>200</v>
      </c>
    </row>
    <row r="84" spans="2:5" x14ac:dyDescent="0.2">
      <c r="B84" s="2" t="s">
        <v>57</v>
      </c>
      <c r="C84" s="4">
        <f t="shared" ref="C84:E84" si="11">C82+C83</f>
        <v>250.7</v>
      </c>
      <c r="D84" s="4">
        <f t="shared" si="11"/>
        <v>231.9</v>
      </c>
      <c r="E84" s="4">
        <f t="shared" si="11"/>
        <v>208</v>
      </c>
    </row>
    <row r="85" spans="2:5" x14ac:dyDescent="0.2">
      <c r="C85" s="5"/>
      <c r="D85" s="5"/>
      <c r="E85" s="5"/>
    </row>
    <row r="86" spans="2:5" x14ac:dyDescent="0.2">
      <c r="B86" s="2" t="s">
        <v>29</v>
      </c>
      <c r="C86" s="4">
        <f t="shared" ref="C86:E86" si="12">C80+C84</f>
        <v>273.7</v>
      </c>
      <c r="D86" s="4">
        <f t="shared" si="12"/>
        <v>255.5</v>
      </c>
      <c r="E86" s="4">
        <f t="shared" si="12"/>
        <v>231</v>
      </c>
    </row>
    <row r="87" spans="2:5" x14ac:dyDescent="0.2">
      <c r="C87" s="5"/>
      <c r="D87" s="5"/>
      <c r="E87" s="5"/>
    </row>
    <row r="88" spans="2:5" x14ac:dyDescent="0.2">
      <c r="B88" s="17" t="s">
        <v>58</v>
      </c>
      <c r="C88" s="19">
        <v>120</v>
      </c>
      <c r="D88" s="19">
        <v>120</v>
      </c>
      <c r="E88" s="19">
        <v>120</v>
      </c>
    </row>
    <row r="89" spans="2:5" x14ac:dyDescent="0.2">
      <c r="B89" s="17" t="s">
        <v>30</v>
      </c>
      <c r="C89" s="19">
        <v>119.7</v>
      </c>
      <c r="D89" s="19">
        <v>138.69999999999999</v>
      </c>
      <c r="E89" s="19">
        <v>138.5</v>
      </c>
    </row>
    <row r="90" spans="2:5" x14ac:dyDescent="0.2">
      <c r="B90" s="2" t="s">
        <v>59</v>
      </c>
      <c r="C90" s="4">
        <f t="shared" ref="C90:E90" si="13">C88+C89</f>
        <v>239.7</v>
      </c>
      <c r="D90" s="4">
        <f t="shared" si="13"/>
        <v>258.7</v>
      </c>
      <c r="E90" s="4">
        <f t="shared" si="13"/>
        <v>258.5</v>
      </c>
    </row>
    <row r="91" spans="2:5" x14ac:dyDescent="0.2">
      <c r="C91" s="5"/>
      <c r="D91" s="5"/>
      <c r="E91" s="5"/>
    </row>
    <row r="92" spans="2:5" ht="16" thickBot="1" x14ac:dyDescent="0.25">
      <c r="B92" s="6" t="s">
        <v>60</v>
      </c>
      <c r="C92" s="7">
        <f t="shared" ref="C92:E92" si="14">C86+C90</f>
        <v>513.4</v>
      </c>
      <c r="D92" s="7">
        <f t="shared" si="14"/>
        <v>514.20000000000005</v>
      </c>
      <c r="E92" s="7">
        <f t="shared" si="14"/>
        <v>489.5</v>
      </c>
    </row>
    <row r="93" spans="2:5" ht="16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Ingraham</dc:creator>
  <cp:lastModifiedBy>David Ingraham</cp:lastModifiedBy>
  <dcterms:created xsi:type="dcterms:W3CDTF">2026-02-05T23:40:38Z</dcterms:created>
  <dcterms:modified xsi:type="dcterms:W3CDTF">2026-02-09T19:34:39Z</dcterms:modified>
</cp:coreProperties>
</file>